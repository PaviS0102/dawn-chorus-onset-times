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HAE5dl48wdRMqwAbpJQFZ24u1FtryOfUWD45eMHqK0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======
ID#AAABzI9otBo
Meghana Srivathsa    (2026-01-29 13:52:22)
missed</t>
      </text>
    </comment>
  </commentList>
  <extLst>
    <ext uri="GoogleSheetsCustomDataVersion2">
      <go:sheetsCustomData xmlns:go="http://customooxmlschemas.google.com/" r:id="rId1" roundtripDataSignature="AMtx7mh7VLpOaK4m+3BzjSJage5E0+Tcyg=="/>
    </ext>
  </extLst>
</comments>
</file>

<file path=xl/sharedStrings.xml><?xml version="1.0" encoding="utf-8"?>
<sst xmlns="http://schemas.openxmlformats.org/spreadsheetml/2006/main" count="1568" uniqueCount="109">
  <si>
    <t>species</t>
  </si>
  <si>
    <t>ML_ID</t>
  </si>
  <si>
    <t>Eye Measurement (pixels)</t>
  </si>
  <si>
    <t>Bill Length Measurement (pixels)</t>
  </si>
  <si>
    <t>Bill Depth Measurement (pixels)</t>
  </si>
  <si>
    <t>AVONET Bill Length (mm)</t>
  </si>
  <si>
    <t>AVONET Bill Depth (mm)</t>
  </si>
  <si>
    <t>Eye Size in mm (calculated by bill length)</t>
  </si>
  <si>
    <t>Eye Size in mm (Calculated by bill depth)</t>
  </si>
  <si>
    <t>Eye Size in mm (averaged)</t>
  </si>
  <si>
    <t>Bill Ratio (photo)</t>
  </si>
  <si>
    <t>Bill Ratio (specimen)</t>
  </si>
  <si>
    <t>Error of bill ratio</t>
  </si>
  <si>
    <t>common_name</t>
  </si>
  <si>
    <t>Alcippe poioicephala</t>
  </si>
  <si>
    <t>Brown-cheeked fulvetta</t>
  </si>
  <si>
    <t>Acrocephalus dumetorum</t>
  </si>
  <si>
    <t>Blyth's Reed Warbler</t>
  </si>
  <si>
    <t>Hierococcyx varius</t>
  </si>
  <si>
    <t>Common Hawk-Cuckoo</t>
  </si>
  <si>
    <t>Dinopium javanense</t>
  </si>
  <si>
    <t>Common Flameback</t>
  </si>
  <si>
    <t>Dumetia atriceps</t>
  </si>
  <si>
    <t>Dark-fronted Babbler</t>
  </si>
  <si>
    <t>Rubigula gularis</t>
  </si>
  <si>
    <t>Flame-throated Bulbul</t>
  </si>
  <si>
    <t>Treron affinis</t>
  </si>
  <si>
    <t>Gray-fronted Green-Pigeon</t>
  </si>
  <si>
    <t>Chrysocolaptes guttacristatus</t>
  </si>
  <si>
    <t>Greater Flameback</t>
  </si>
  <si>
    <t>Gallus sonneratii</t>
  </si>
  <si>
    <t>Gray Junglefowl</t>
  </si>
  <si>
    <t>Phylloscopus nitidus</t>
  </si>
  <si>
    <t>Green Warbler</t>
  </si>
  <si>
    <t>Larvivora brunnea</t>
  </si>
  <si>
    <t>Indian Blue Robin</t>
  </si>
  <si>
    <t>Terpsiphone paradisi</t>
  </si>
  <si>
    <t>Indian Paradise-Flycatcher</t>
  </si>
  <si>
    <t>Pomatorhinus horsfieldii</t>
  </si>
  <si>
    <t>Indian Scimitar-Babbler</t>
  </si>
  <si>
    <t>Phylloscopus magnirostris</t>
  </si>
  <si>
    <t>Large-billed Leaf Warbler</t>
  </si>
  <si>
    <t>Psilopogon malabaricus</t>
  </si>
  <si>
    <t>Malabar Barbet</t>
  </si>
  <si>
    <t>Harpactes fasciatus</t>
  </si>
  <si>
    <t>Malabar Trogon</t>
  </si>
  <si>
    <t>Tephrodornis sylvicola</t>
  </si>
  <si>
    <t>Malabar Woodshrike</t>
  </si>
  <si>
    <t>Myophonus horsfieldii</t>
  </si>
  <si>
    <t>Malabar Whistling-Thrush</t>
  </si>
  <si>
    <t>Eumyias albicaudatus</t>
  </si>
  <si>
    <t>Nilgiri Flycatcher</t>
  </si>
  <si>
    <t>Geokichla citrina</t>
  </si>
  <si>
    <t>Orange-headed Thrush</t>
  </si>
  <si>
    <t>Ficedula ruficauda</t>
  </si>
  <si>
    <t>Rusty-tailed Flycatcher</t>
  </si>
  <si>
    <t>Argya subrufa</t>
  </si>
  <si>
    <t>Rufous Babbler</t>
  </si>
  <si>
    <t>Micropternus brachyurus</t>
  </si>
  <si>
    <t>Rufous Woodpecker</t>
  </si>
  <si>
    <t>Gracula indica</t>
  </si>
  <si>
    <t>Southern Hill Myna</t>
  </si>
  <si>
    <t>Pericrocotus cinnamomeus</t>
  </si>
  <si>
    <t>Small Minivet</t>
  </si>
  <si>
    <t>Hypsipetes ganeesa</t>
  </si>
  <si>
    <t>Square-tailed Bulbul</t>
  </si>
  <si>
    <t>Picus xanthopygaeus</t>
  </si>
  <si>
    <t>Streak-throated Woodpecker</t>
  </si>
  <si>
    <t>Sitta frontalis</t>
  </si>
  <si>
    <t>Velvet-fronted Nuthatch</t>
  </si>
  <si>
    <t>Cyornis pallidipes</t>
  </si>
  <si>
    <t>White-bellied Blue Flycatcher</t>
  </si>
  <si>
    <t>Dendrocitta leucogastra</t>
  </si>
  <si>
    <t>White-bellied Treepie</t>
  </si>
  <si>
    <t>Psilopogon viridis</t>
  </si>
  <si>
    <t>White-cheeked Barbet</t>
  </si>
  <si>
    <t>Acritillas indica</t>
  </si>
  <si>
    <t>Yellow-browed Bulbul</t>
  </si>
  <si>
    <t>Ficedula nigrorufa</t>
  </si>
  <si>
    <t>Black-and-orange Flycatcher</t>
  </si>
  <si>
    <t>Muscicapa muttui</t>
  </si>
  <si>
    <t>Brown-breasted Flycatcher</t>
  </si>
  <si>
    <t>Psittacula columboides</t>
  </si>
  <si>
    <t>Malabar Parakeet</t>
  </si>
  <si>
    <t>Vanellus indicus</t>
  </si>
  <si>
    <t>Red-wattled Lapwing</t>
  </si>
  <si>
    <t>Spilopelia chinensis</t>
  </si>
  <si>
    <t>Spotted Dove</t>
  </si>
  <si>
    <t>Loriculus vernalis</t>
  </si>
  <si>
    <t>Vernal Hanging-Parrot</t>
  </si>
  <si>
    <t>Leptocoma minima</t>
  </si>
  <si>
    <t>Crimson-backed Sunbird</t>
  </si>
  <si>
    <t>Cinnyris asiaticus</t>
  </si>
  <si>
    <t>Purple Sunbird</t>
  </si>
  <si>
    <t>Ocyceros griseus</t>
  </si>
  <si>
    <t>Malabar Gray Hornbill</t>
  </si>
  <si>
    <t>Psittacula cyanocephala</t>
  </si>
  <si>
    <t>Plum-headed Parakeet</t>
  </si>
  <si>
    <t>Machlolophus aplonotus</t>
  </si>
  <si>
    <t>Indian Yellow Tit</t>
  </si>
  <si>
    <t>Galloperdix spadicea</t>
  </si>
  <si>
    <t>Red Spurfowl</t>
  </si>
  <si>
    <t>error ratio &lt; 0.1</t>
  </si>
  <si>
    <t>Meghana</t>
  </si>
  <si>
    <t>completed</t>
  </si>
  <si>
    <t>Brown-cheeked Fulvetta</t>
  </si>
  <si>
    <t>Pavithra</t>
  </si>
  <si>
    <t>-</t>
  </si>
  <si>
    <t>Spot-bellied Eagle-Owl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</si>
</sst>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0.0"/>
      <color theme="1"/>
      <name val="Calibri"/>
    </font>
    <font>
      <sz val="11.0"/>
      <color rgb="FF000000"/>
      <name val="Calibri"/>
    </font>
    <font>
      <color rgb="FF000000"/>
      <name val="Calibri"/>
    </font>
    <font>
      <color rgb="FF2E261F"/>
      <name val="Calibri"/>
    </font>
    <font>
      <color rgb="FF2E261F"/>
      <name val="Calibri"/>
      <scheme val="minor"/>
    </font>
    <font>
      <sz val="11.0"/>
      <color theme="9"/>
      <name val="Calibri"/>
    </font>
    <font>
      <color theme="9"/>
      <name val="Calibri"/>
      <scheme val="minor"/>
    </font>
    <font>
      <sz val="11.0"/>
      <color rgb="FF6AA84F"/>
      <name val="Calibri"/>
    </font>
    <font>
      <color rgb="FF6AA84F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1" fillId="3" fontId="3" numFmtId="0" xfId="0" applyBorder="1" applyFill="1" applyFont="1"/>
    <xf borderId="1" fillId="4" fontId="1" numFmtId="0" xfId="0" applyBorder="1" applyFill="1" applyFont="1"/>
    <xf borderId="0" fillId="4" fontId="1" numFmtId="0" xfId="0" applyFont="1"/>
    <xf borderId="0" fillId="0" fontId="0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1" fillId="5" fontId="1" numFmtId="0" xfId="0" applyBorder="1" applyFill="1" applyFont="1"/>
    <xf borderId="0" fillId="2" fontId="1" numFmtId="0" xfId="0" applyFont="1"/>
    <xf borderId="0" fillId="0" fontId="1" numFmtId="3" xfId="0" applyFont="1" applyNumberFormat="1"/>
    <xf borderId="0" fillId="0" fontId="1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1" fillId="6" fontId="1" numFmtId="0" xfId="0" applyBorder="1" applyFill="1" applyFont="1"/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7" fontId="6" numFmtId="0" xfId="0" applyAlignment="1" applyFill="1" applyFont="1">
      <alignment readingOrder="0"/>
    </xf>
    <xf borderId="1" fillId="0" fontId="3" numFmtId="0" xfId="0" applyBorder="1" applyFont="1"/>
    <xf borderId="1" fillId="2" fontId="3" numFmtId="0" xfId="0" applyBorder="1" applyFont="1"/>
    <xf borderId="0" fillId="7" fontId="7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8" fontId="8" numFmtId="0" xfId="0" applyAlignment="1" applyFill="1" applyFont="1">
      <alignment readingOrder="0" shrinkToFit="0" vertical="bottom" wrapText="0"/>
    </xf>
    <xf borderId="0" fillId="8" fontId="8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readingOrder="0"/>
    </xf>
    <xf borderId="0" fillId="8" fontId="4" numFmtId="0" xfId="0" applyAlignment="1" applyFont="1">
      <alignment readingOrder="0" shrinkToFit="0" vertical="bottom" wrapText="0"/>
    </xf>
    <xf borderId="0" fillId="8" fontId="4" numFmtId="0" xfId="0" applyAlignment="1" applyFont="1">
      <alignment horizontal="right" readingOrder="0" shrinkToFit="0" vertical="bottom" wrapText="0"/>
    </xf>
    <xf borderId="0" fillId="9" fontId="10" numFmtId="0" xfId="0" applyAlignment="1" applyFill="1" applyFont="1">
      <alignment readingOrder="0" shrinkToFit="0" vertical="bottom" wrapText="0"/>
    </xf>
    <xf borderId="0" fillId="9" fontId="10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readingOrder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8.57"/>
    <col customWidth="1" min="2" max="2" width="11.71"/>
    <col customWidth="1" min="3" max="3" width="14.14"/>
    <col customWidth="1" min="4" max="4" width="14.29"/>
    <col customWidth="1" min="5" max="5" width="13.86"/>
    <col customWidth="1" min="6" max="6" width="12.29"/>
    <col customWidth="1" min="7" max="7" width="12.57"/>
    <col customWidth="1" min="8" max="9" width="17.14"/>
    <col customWidth="1" min="10" max="10" width="11.57"/>
    <col customWidth="1" min="11" max="11" width="9.0"/>
    <col customWidth="1" min="12" max="12" width="11.29"/>
    <col customWidth="1" min="13" max="13" width="12.71"/>
    <col customWidth="1" min="14" max="14" width="24.43"/>
    <col customWidth="1" min="15" max="26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14</v>
      </c>
      <c r="B2" s="3">
        <v>6.48473363E8</v>
      </c>
      <c r="C2" s="4">
        <v>30.871</v>
      </c>
      <c r="D2" s="4">
        <v>57.953</v>
      </c>
      <c r="E2" s="4">
        <v>34.677</v>
      </c>
      <c r="F2" s="5">
        <v>8.2</v>
      </c>
      <c r="G2" s="5">
        <v>4.2</v>
      </c>
      <c r="H2" s="4">
        <f t="shared" ref="H2:H323" si="1">(C2/D2)*F2</f>
        <v>4.368060325</v>
      </c>
      <c r="I2" s="4">
        <f t="shared" ref="I2:I323" si="2">(C2/E2)*G2</f>
        <v>3.739025867</v>
      </c>
      <c r="J2" s="4">
        <f t="shared" ref="J2:J323" si="3">AVERAGE(H2:I2)</f>
        <v>4.053543096</v>
      </c>
      <c r="K2" s="4">
        <f t="shared" ref="K2:K323" si="4">D2/E2</f>
        <v>1.671223001</v>
      </c>
      <c r="L2" s="4">
        <f t="shared" ref="L2:L323" si="5">F2/G2</f>
        <v>1.952380952</v>
      </c>
      <c r="M2" s="4">
        <f t="shared" ref="M2:M323" si="6">(K2-L2)/L2</f>
        <v>-0.1440077313</v>
      </c>
      <c r="N2" s="3" t="s">
        <v>15</v>
      </c>
    </row>
    <row r="3">
      <c r="A3" s="6" t="s">
        <v>14</v>
      </c>
      <c r="B3" s="3">
        <v>6.48415153E8</v>
      </c>
      <c r="C3" s="4">
        <v>25.667</v>
      </c>
      <c r="D3" s="4">
        <v>44.769</v>
      </c>
      <c r="E3" s="4">
        <v>27.039</v>
      </c>
      <c r="F3" s="5">
        <v>8.2</v>
      </c>
      <c r="G3" s="5">
        <v>4.2</v>
      </c>
      <c r="H3" s="4">
        <f t="shared" si="1"/>
        <v>4.701230762</v>
      </c>
      <c r="I3" s="4">
        <f t="shared" si="2"/>
        <v>3.98688561</v>
      </c>
      <c r="J3" s="4">
        <f t="shared" si="3"/>
        <v>4.344058186</v>
      </c>
      <c r="K3" s="4">
        <f t="shared" si="4"/>
        <v>1.655719516</v>
      </c>
      <c r="L3" s="4">
        <f t="shared" si="5"/>
        <v>1.952380952</v>
      </c>
      <c r="M3" s="4">
        <f t="shared" si="6"/>
        <v>-0.1519485405</v>
      </c>
      <c r="N3" s="3" t="s">
        <v>15</v>
      </c>
    </row>
    <row r="4">
      <c r="A4" s="2" t="s">
        <v>14</v>
      </c>
      <c r="B4" s="3">
        <v>6.4829269E8</v>
      </c>
      <c r="C4" s="4">
        <v>23.135</v>
      </c>
      <c r="D4" s="4">
        <v>40.012</v>
      </c>
      <c r="E4" s="4">
        <v>23.135</v>
      </c>
      <c r="F4" s="5">
        <v>8.2</v>
      </c>
      <c r="G4" s="5">
        <v>4.2</v>
      </c>
      <c r="H4" s="4">
        <f t="shared" si="1"/>
        <v>4.741252624</v>
      </c>
      <c r="I4" s="4">
        <f t="shared" si="2"/>
        <v>4.2</v>
      </c>
      <c r="J4" s="4">
        <f t="shared" si="3"/>
        <v>4.470626312</v>
      </c>
      <c r="K4" s="4">
        <f t="shared" si="4"/>
        <v>1.729500756</v>
      </c>
      <c r="L4" s="4">
        <f t="shared" si="5"/>
        <v>1.952380952</v>
      </c>
      <c r="M4" s="4">
        <f t="shared" si="6"/>
        <v>-0.1141581491</v>
      </c>
      <c r="N4" s="3" t="s">
        <v>15</v>
      </c>
    </row>
    <row r="5">
      <c r="A5" s="3" t="s">
        <v>14</v>
      </c>
      <c r="B5" s="3">
        <v>6.48027084E8</v>
      </c>
      <c r="C5" s="4">
        <v>19.134</v>
      </c>
      <c r="D5" s="4">
        <v>34.976</v>
      </c>
      <c r="E5" s="4">
        <v>19.381</v>
      </c>
      <c r="F5" s="5">
        <v>8.2</v>
      </c>
      <c r="G5" s="5">
        <v>4.2</v>
      </c>
      <c r="H5" s="4">
        <f t="shared" si="1"/>
        <v>4.485898902</v>
      </c>
      <c r="I5" s="4">
        <f t="shared" si="2"/>
        <v>4.14647335</v>
      </c>
      <c r="J5" s="4">
        <f t="shared" si="3"/>
        <v>4.316186126</v>
      </c>
      <c r="K5" s="4">
        <f t="shared" si="4"/>
        <v>1.804654043</v>
      </c>
      <c r="L5" s="4">
        <f t="shared" si="5"/>
        <v>1.952380952</v>
      </c>
      <c r="M5" s="4">
        <f t="shared" si="6"/>
        <v>-0.07566500256</v>
      </c>
      <c r="N5" s="3" t="s">
        <v>15</v>
      </c>
    </row>
    <row r="6">
      <c r="A6" s="6" t="s">
        <v>14</v>
      </c>
      <c r="B6" s="3">
        <v>6.4790179E8</v>
      </c>
      <c r="C6" s="4">
        <v>21.866</v>
      </c>
      <c r="D6" s="4">
        <v>36.916</v>
      </c>
      <c r="E6" s="4">
        <v>23.033</v>
      </c>
      <c r="F6" s="5">
        <v>8.2</v>
      </c>
      <c r="G6" s="5">
        <v>4.2</v>
      </c>
      <c r="H6" s="4">
        <f t="shared" si="1"/>
        <v>4.857005093</v>
      </c>
      <c r="I6" s="4">
        <f t="shared" si="2"/>
        <v>3.987200973</v>
      </c>
      <c r="J6" s="4">
        <f t="shared" si="3"/>
        <v>4.422103033</v>
      </c>
      <c r="K6" s="4">
        <f t="shared" si="4"/>
        <v>1.602743889</v>
      </c>
      <c r="L6" s="4">
        <f t="shared" si="5"/>
        <v>1.952380952</v>
      </c>
      <c r="M6" s="4">
        <f t="shared" si="6"/>
        <v>-0.1790823982</v>
      </c>
      <c r="N6" s="3" t="s">
        <v>15</v>
      </c>
    </row>
    <row r="7">
      <c r="A7" s="2" t="s">
        <v>14</v>
      </c>
      <c r="B7" s="3">
        <v>6.47621698E8</v>
      </c>
      <c r="C7" s="4">
        <v>27.85</v>
      </c>
      <c r="D7" s="4">
        <v>39.183</v>
      </c>
      <c r="E7" s="4">
        <v>22.772</v>
      </c>
      <c r="F7" s="5">
        <v>8.2</v>
      </c>
      <c r="G7" s="5">
        <v>4.2</v>
      </c>
      <c r="H7" s="4">
        <f t="shared" si="1"/>
        <v>5.828292882</v>
      </c>
      <c r="I7" s="4">
        <f t="shared" si="2"/>
        <v>5.136571228</v>
      </c>
      <c r="J7" s="4">
        <f t="shared" si="3"/>
        <v>5.482432055</v>
      </c>
      <c r="K7" s="4">
        <f t="shared" si="4"/>
        <v>1.72066573</v>
      </c>
      <c r="L7" s="4">
        <f t="shared" si="5"/>
        <v>1.952380952</v>
      </c>
      <c r="M7" s="4">
        <f t="shared" si="6"/>
        <v>-0.1186834067</v>
      </c>
      <c r="N7" s="3" t="s">
        <v>15</v>
      </c>
    </row>
    <row r="8">
      <c r="A8" s="3" t="s">
        <v>14</v>
      </c>
      <c r="B8" s="3">
        <v>6.47503157E8</v>
      </c>
      <c r="C8" s="4">
        <v>25.71</v>
      </c>
      <c r="D8" s="4">
        <v>40.28</v>
      </c>
      <c r="E8" s="4">
        <v>23.154</v>
      </c>
      <c r="F8" s="5">
        <v>8.2</v>
      </c>
      <c r="G8" s="5">
        <v>4.2</v>
      </c>
      <c r="H8" s="4">
        <f t="shared" si="1"/>
        <v>5.233912612</v>
      </c>
      <c r="I8" s="4">
        <f t="shared" si="2"/>
        <v>4.663643431</v>
      </c>
      <c r="J8" s="4">
        <f t="shared" si="3"/>
        <v>4.948778021</v>
      </c>
      <c r="K8" s="4">
        <f t="shared" si="4"/>
        <v>1.739656215</v>
      </c>
      <c r="L8" s="4">
        <f t="shared" si="5"/>
        <v>1.952380952</v>
      </c>
      <c r="M8" s="4">
        <f t="shared" si="6"/>
        <v>-0.1089565729</v>
      </c>
      <c r="N8" s="3" t="s">
        <v>15</v>
      </c>
    </row>
    <row r="9">
      <c r="A9" s="3" t="s">
        <v>14</v>
      </c>
      <c r="B9" s="3">
        <v>6.47456033E8</v>
      </c>
      <c r="C9" s="4">
        <v>28.674</v>
      </c>
      <c r="D9" s="4">
        <v>63.918</v>
      </c>
      <c r="E9" s="4">
        <v>36.347</v>
      </c>
      <c r="F9" s="5">
        <v>8.2</v>
      </c>
      <c r="G9" s="5">
        <v>4.2</v>
      </c>
      <c r="H9" s="4">
        <f t="shared" si="1"/>
        <v>3.678569417</v>
      </c>
      <c r="I9" s="4">
        <f t="shared" si="2"/>
        <v>3.313362864</v>
      </c>
      <c r="J9" s="4">
        <f t="shared" si="3"/>
        <v>3.49596614</v>
      </c>
      <c r="K9" s="4">
        <f t="shared" si="4"/>
        <v>1.758549536</v>
      </c>
      <c r="L9" s="4">
        <f t="shared" si="5"/>
        <v>1.952380952</v>
      </c>
      <c r="M9" s="4">
        <f t="shared" si="6"/>
        <v>-0.09927950574</v>
      </c>
      <c r="N9" s="3" t="s">
        <v>15</v>
      </c>
    </row>
    <row r="10">
      <c r="A10" s="2" t="s">
        <v>14</v>
      </c>
      <c r="B10" s="3">
        <v>6.47349498E8</v>
      </c>
      <c r="C10" s="4">
        <v>31.484</v>
      </c>
      <c r="D10" s="4">
        <v>52.897</v>
      </c>
      <c r="E10" s="4">
        <v>31.785</v>
      </c>
      <c r="F10" s="5">
        <v>8.2</v>
      </c>
      <c r="G10" s="5">
        <v>4.2</v>
      </c>
      <c r="H10" s="4">
        <f t="shared" si="1"/>
        <v>4.880594363</v>
      </c>
      <c r="I10" s="4">
        <f t="shared" si="2"/>
        <v>4.160226522</v>
      </c>
      <c r="J10" s="4">
        <f t="shared" si="3"/>
        <v>4.520410442</v>
      </c>
      <c r="K10" s="4">
        <f t="shared" si="4"/>
        <v>1.664212679</v>
      </c>
      <c r="L10" s="4">
        <f t="shared" si="5"/>
        <v>1.952380952</v>
      </c>
      <c r="M10" s="4">
        <f t="shared" si="6"/>
        <v>-0.147598384</v>
      </c>
      <c r="N10" s="3" t="s">
        <v>15</v>
      </c>
    </row>
    <row r="11">
      <c r="A11" s="3" t="s">
        <v>14</v>
      </c>
      <c r="B11" s="3">
        <v>6.47270825E8</v>
      </c>
      <c r="C11" s="4">
        <v>22.051</v>
      </c>
      <c r="D11" s="4">
        <v>42.297</v>
      </c>
      <c r="E11" s="4">
        <v>23.022</v>
      </c>
      <c r="F11" s="5">
        <v>8.2</v>
      </c>
      <c r="G11" s="5">
        <v>4.2</v>
      </c>
      <c r="H11" s="4">
        <f t="shared" si="1"/>
        <v>4.274965128</v>
      </c>
      <c r="I11" s="4">
        <f t="shared" si="2"/>
        <v>4.022856398</v>
      </c>
      <c r="J11" s="4">
        <f t="shared" si="3"/>
        <v>4.148910763</v>
      </c>
      <c r="K11" s="4">
        <f t="shared" si="4"/>
        <v>1.837242637</v>
      </c>
      <c r="L11" s="4">
        <f t="shared" si="5"/>
        <v>1.952380952</v>
      </c>
      <c r="M11" s="4">
        <f t="shared" si="6"/>
        <v>-0.05897328324</v>
      </c>
      <c r="N11" s="3" t="s">
        <v>15</v>
      </c>
    </row>
    <row r="12">
      <c r="A12" s="3" t="s">
        <v>14</v>
      </c>
      <c r="B12" s="3">
        <v>6.46680265E8</v>
      </c>
      <c r="C12" s="4">
        <v>24.336</v>
      </c>
      <c r="D12" s="4">
        <v>48.18</v>
      </c>
      <c r="E12" s="4">
        <v>27.681</v>
      </c>
      <c r="F12" s="5">
        <v>8.2</v>
      </c>
      <c r="G12" s="5">
        <v>4.2</v>
      </c>
      <c r="H12" s="4">
        <f t="shared" si="1"/>
        <v>4.141867995</v>
      </c>
      <c r="I12" s="4">
        <f t="shared" si="2"/>
        <v>3.692467758</v>
      </c>
      <c r="J12" s="4">
        <f t="shared" si="3"/>
        <v>3.917167876</v>
      </c>
      <c r="K12" s="4">
        <f t="shared" si="4"/>
        <v>1.740544055</v>
      </c>
      <c r="L12" s="4">
        <f t="shared" si="5"/>
        <v>1.952380952</v>
      </c>
      <c r="M12" s="4">
        <f t="shared" si="6"/>
        <v>-0.1085018252</v>
      </c>
      <c r="N12" s="3" t="s">
        <v>15</v>
      </c>
    </row>
    <row r="13">
      <c r="A13" s="3" t="s">
        <v>14</v>
      </c>
      <c r="B13" s="3">
        <v>6.46108815E8</v>
      </c>
      <c r="C13" s="4">
        <v>26.504</v>
      </c>
      <c r="D13" s="4">
        <v>55.082</v>
      </c>
      <c r="E13" s="4">
        <v>28.002</v>
      </c>
      <c r="F13" s="5">
        <v>8.2</v>
      </c>
      <c r="G13" s="5">
        <v>4.2</v>
      </c>
      <c r="H13" s="4">
        <f t="shared" si="1"/>
        <v>3.94562289</v>
      </c>
      <c r="I13" s="4">
        <f t="shared" si="2"/>
        <v>3.975316049</v>
      </c>
      <c r="J13" s="4">
        <f t="shared" si="3"/>
        <v>3.960469469</v>
      </c>
      <c r="K13" s="4">
        <f t="shared" si="4"/>
        <v>1.96707378</v>
      </c>
      <c r="L13" s="4">
        <f t="shared" si="5"/>
        <v>1.952380952</v>
      </c>
      <c r="M13" s="4">
        <f t="shared" si="6"/>
        <v>0.007525594862</v>
      </c>
      <c r="N13" s="3" t="s">
        <v>15</v>
      </c>
    </row>
    <row r="14">
      <c r="A14" s="3" t="s">
        <v>14</v>
      </c>
      <c r="B14" s="3">
        <v>6.4498437E8</v>
      </c>
      <c r="C14" s="4">
        <v>23.76</v>
      </c>
      <c r="D14" s="4">
        <v>39.408</v>
      </c>
      <c r="E14" s="4">
        <v>20.979</v>
      </c>
      <c r="F14" s="5">
        <v>8.2</v>
      </c>
      <c r="G14" s="5">
        <v>4.2</v>
      </c>
      <c r="H14" s="4">
        <f t="shared" si="1"/>
        <v>4.943970767</v>
      </c>
      <c r="I14" s="4">
        <f t="shared" si="2"/>
        <v>4.756756757</v>
      </c>
      <c r="J14" s="4">
        <f t="shared" si="3"/>
        <v>4.850363762</v>
      </c>
      <c r="K14" s="4">
        <f t="shared" si="4"/>
        <v>1.878449878</v>
      </c>
      <c r="L14" s="4">
        <f t="shared" si="5"/>
        <v>1.952380952</v>
      </c>
      <c r="M14" s="4">
        <f t="shared" si="6"/>
        <v>-0.03786713543</v>
      </c>
      <c r="N14" s="3" t="s">
        <v>15</v>
      </c>
    </row>
    <row r="15">
      <c r="A15" s="3" t="s">
        <v>14</v>
      </c>
      <c r="B15" s="3">
        <v>6.44214751E8</v>
      </c>
      <c r="C15" s="4">
        <v>33.956</v>
      </c>
      <c r="D15" s="4">
        <v>62.0</v>
      </c>
      <c r="E15" s="4">
        <v>32.062</v>
      </c>
      <c r="F15" s="5">
        <v>8.2</v>
      </c>
      <c r="G15" s="5">
        <v>4.2</v>
      </c>
      <c r="H15" s="4">
        <f t="shared" si="1"/>
        <v>4.490954839</v>
      </c>
      <c r="I15" s="4">
        <f t="shared" si="2"/>
        <v>4.448106793</v>
      </c>
      <c r="J15" s="4">
        <f t="shared" si="3"/>
        <v>4.469530816</v>
      </c>
      <c r="K15" s="4">
        <f t="shared" si="4"/>
        <v>1.933753353</v>
      </c>
      <c r="L15" s="4">
        <f t="shared" si="5"/>
        <v>1.952380952</v>
      </c>
      <c r="M15" s="4">
        <f t="shared" si="6"/>
        <v>-0.009540965599</v>
      </c>
      <c r="N15" s="3" t="s">
        <v>15</v>
      </c>
    </row>
    <row r="16">
      <c r="A16" s="2" t="s">
        <v>14</v>
      </c>
      <c r="B16" s="3">
        <v>6.44203501E8</v>
      </c>
      <c r="C16" s="4">
        <v>24.45</v>
      </c>
      <c r="D16" s="4">
        <v>41.72</v>
      </c>
      <c r="E16" s="4">
        <v>24.877</v>
      </c>
      <c r="F16" s="5">
        <v>8.2</v>
      </c>
      <c r="G16" s="5">
        <v>4.2</v>
      </c>
      <c r="H16" s="4">
        <f t="shared" si="1"/>
        <v>4.805608821</v>
      </c>
      <c r="I16" s="4">
        <f t="shared" si="2"/>
        <v>4.127909314</v>
      </c>
      <c r="J16" s="4">
        <f t="shared" si="3"/>
        <v>4.466759067</v>
      </c>
      <c r="K16" s="4">
        <f t="shared" si="4"/>
        <v>1.677051091</v>
      </c>
      <c r="L16" s="4">
        <f t="shared" si="5"/>
        <v>1.952380952</v>
      </c>
      <c r="M16" s="4">
        <f t="shared" si="6"/>
        <v>-0.1410226117</v>
      </c>
      <c r="N16" s="3" t="s">
        <v>15</v>
      </c>
    </row>
    <row r="17">
      <c r="A17" s="3" t="s">
        <v>14</v>
      </c>
      <c r="B17" s="3">
        <v>5.43854051E8</v>
      </c>
      <c r="C17" s="4">
        <v>52.673</v>
      </c>
      <c r="D17" s="4">
        <v>93.302</v>
      </c>
      <c r="E17" s="4">
        <v>48.053</v>
      </c>
      <c r="F17" s="5">
        <v>8.2</v>
      </c>
      <c r="G17" s="5">
        <v>4.2</v>
      </c>
      <c r="H17" s="4">
        <f t="shared" si="1"/>
        <v>4.629253392</v>
      </c>
      <c r="I17" s="4">
        <f t="shared" si="2"/>
        <v>4.603804133</v>
      </c>
      <c r="J17" s="4">
        <f t="shared" si="3"/>
        <v>4.616528763</v>
      </c>
      <c r="K17" s="4">
        <f t="shared" si="4"/>
        <v>1.941647764</v>
      </c>
      <c r="L17" s="4">
        <f t="shared" si="5"/>
        <v>1.952380952</v>
      </c>
      <c r="M17" s="4">
        <f t="shared" si="6"/>
        <v>-0.005497486769</v>
      </c>
      <c r="N17" s="3" t="s">
        <v>15</v>
      </c>
    </row>
    <row r="18">
      <c r="A18" s="3" t="s">
        <v>14</v>
      </c>
      <c r="B18" s="3">
        <v>5.76710961E8</v>
      </c>
      <c r="C18" s="4">
        <v>43.283</v>
      </c>
      <c r="D18" s="4">
        <v>70.937</v>
      </c>
      <c r="E18" s="4">
        <v>38.16</v>
      </c>
      <c r="F18" s="5">
        <v>8.2</v>
      </c>
      <c r="G18" s="5">
        <v>4.2</v>
      </c>
      <c r="H18" s="4">
        <f t="shared" si="1"/>
        <v>5.003321257</v>
      </c>
      <c r="I18" s="4">
        <f t="shared" si="2"/>
        <v>4.763852201</v>
      </c>
      <c r="J18" s="4">
        <f t="shared" si="3"/>
        <v>4.883586729</v>
      </c>
      <c r="K18" s="4">
        <f t="shared" si="4"/>
        <v>1.858936059</v>
      </c>
      <c r="L18" s="4">
        <f t="shared" si="5"/>
        <v>1.952380952</v>
      </c>
      <c r="M18" s="4">
        <f t="shared" si="6"/>
        <v>-0.04786201871</v>
      </c>
      <c r="N18" s="3" t="s">
        <v>15</v>
      </c>
    </row>
    <row r="19">
      <c r="A19" s="3" t="s">
        <v>16</v>
      </c>
      <c r="B19" s="3">
        <v>6.48601074E8</v>
      </c>
      <c r="C19" s="4">
        <v>25.732</v>
      </c>
      <c r="D19" s="4">
        <v>85.475</v>
      </c>
      <c r="E19" s="4">
        <v>26.019</v>
      </c>
      <c r="F19" s="5">
        <v>9.2</v>
      </c>
      <c r="G19" s="5">
        <v>3.1</v>
      </c>
      <c r="H19" s="4">
        <f t="shared" si="1"/>
        <v>2.769633226</v>
      </c>
      <c r="I19" s="4">
        <f t="shared" si="2"/>
        <v>3.065805757</v>
      </c>
      <c r="J19" s="4">
        <f t="shared" si="3"/>
        <v>2.917719492</v>
      </c>
      <c r="K19" s="4">
        <f t="shared" si="4"/>
        <v>3.28509935</v>
      </c>
      <c r="L19" s="4">
        <f t="shared" si="5"/>
        <v>2.967741935</v>
      </c>
      <c r="M19" s="4">
        <f t="shared" si="6"/>
        <v>0.1069356507</v>
      </c>
      <c r="N19" s="3" t="s">
        <v>17</v>
      </c>
    </row>
    <row r="20">
      <c r="A20" s="2" t="s">
        <v>16</v>
      </c>
      <c r="B20" s="3">
        <v>6.48596262E8</v>
      </c>
      <c r="C20" s="4">
        <v>21.043</v>
      </c>
      <c r="D20" s="4">
        <v>66.293</v>
      </c>
      <c r="E20" s="4">
        <v>25.104</v>
      </c>
      <c r="F20" s="5">
        <v>9.2</v>
      </c>
      <c r="G20" s="5">
        <v>3.1</v>
      </c>
      <c r="H20" s="4">
        <f t="shared" si="1"/>
        <v>2.920302294</v>
      </c>
      <c r="I20" s="4">
        <f t="shared" si="2"/>
        <v>2.598522148</v>
      </c>
      <c r="J20" s="4">
        <f t="shared" si="3"/>
        <v>2.759412221</v>
      </c>
      <c r="K20" s="4">
        <f t="shared" si="4"/>
        <v>2.640734544</v>
      </c>
      <c r="L20" s="4">
        <f t="shared" si="5"/>
        <v>2.967741935</v>
      </c>
      <c r="M20" s="4">
        <f t="shared" si="6"/>
        <v>-0.1101872731</v>
      </c>
      <c r="N20" s="3" t="s">
        <v>17</v>
      </c>
    </row>
    <row r="21" ht="15.75" customHeight="1">
      <c r="A21" s="3" t="s">
        <v>16</v>
      </c>
      <c r="B21" s="3">
        <v>6.48550252E8</v>
      </c>
      <c r="C21" s="4">
        <v>26.669</v>
      </c>
      <c r="D21" s="4">
        <v>89.016</v>
      </c>
      <c r="E21" s="4">
        <v>33.36</v>
      </c>
      <c r="F21" s="5">
        <v>9.2</v>
      </c>
      <c r="G21" s="5">
        <v>3.1</v>
      </c>
      <c r="H21" s="4">
        <f t="shared" si="1"/>
        <v>2.756299991</v>
      </c>
      <c r="I21" s="4">
        <f t="shared" si="2"/>
        <v>2.478234412</v>
      </c>
      <c r="J21" s="4">
        <f t="shared" si="3"/>
        <v>2.617267202</v>
      </c>
      <c r="K21" s="4">
        <f t="shared" si="4"/>
        <v>2.668345324</v>
      </c>
      <c r="L21" s="4">
        <f t="shared" si="5"/>
        <v>2.967741935</v>
      </c>
      <c r="M21" s="4">
        <f t="shared" si="6"/>
        <v>-0.1008836409</v>
      </c>
      <c r="N21" s="3" t="s">
        <v>17</v>
      </c>
    </row>
    <row r="22" ht="15.75" customHeight="1">
      <c r="A22" s="6" t="s">
        <v>16</v>
      </c>
      <c r="B22" s="3">
        <v>6.48545824E8</v>
      </c>
      <c r="C22" s="4">
        <v>27.592</v>
      </c>
      <c r="D22" s="4">
        <v>83.6</v>
      </c>
      <c r="E22" s="4">
        <v>33.153</v>
      </c>
      <c r="F22" s="5">
        <v>9.2</v>
      </c>
      <c r="G22" s="5">
        <v>3.1</v>
      </c>
      <c r="H22" s="4">
        <f t="shared" si="1"/>
        <v>3.036440191</v>
      </c>
      <c r="I22" s="4">
        <f t="shared" si="2"/>
        <v>2.580013875</v>
      </c>
      <c r="J22" s="4">
        <f t="shared" si="3"/>
        <v>2.808227033</v>
      </c>
      <c r="K22" s="4">
        <f t="shared" si="4"/>
        <v>2.521642084</v>
      </c>
      <c r="L22" s="4">
        <f t="shared" si="5"/>
        <v>2.967741935</v>
      </c>
      <c r="M22" s="4">
        <f t="shared" si="6"/>
        <v>-0.1503162544</v>
      </c>
      <c r="N22" s="3" t="s">
        <v>17</v>
      </c>
    </row>
    <row r="23" ht="15.75" customHeight="1">
      <c r="A23" s="6" t="s">
        <v>16</v>
      </c>
      <c r="B23" s="3">
        <v>6.48536394E8</v>
      </c>
      <c r="C23" s="4">
        <v>26.188</v>
      </c>
      <c r="D23" s="4">
        <v>68.476</v>
      </c>
      <c r="E23" s="4">
        <v>27.588</v>
      </c>
      <c r="F23" s="5">
        <v>9.2</v>
      </c>
      <c r="G23" s="5">
        <v>3.1</v>
      </c>
      <c r="H23" s="4">
        <f t="shared" si="1"/>
        <v>3.518453181</v>
      </c>
      <c r="I23" s="4">
        <f t="shared" si="2"/>
        <v>2.942685225</v>
      </c>
      <c r="J23" s="4">
        <f t="shared" si="3"/>
        <v>3.230569203</v>
      </c>
      <c r="K23" s="4">
        <f t="shared" si="4"/>
        <v>2.482093664</v>
      </c>
      <c r="L23" s="4">
        <f t="shared" si="5"/>
        <v>2.967741935</v>
      </c>
      <c r="M23" s="4">
        <f t="shared" si="6"/>
        <v>-0.1636423524</v>
      </c>
      <c r="N23" s="3" t="s">
        <v>17</v>
      </c>
    </row>
    <row r="24" ht="15.75" customHeight="1">
      <c r="A24" s="3" t="s">
        <v>16</v>
      </c>
      <c r="B24" s="3">
        <v>6.48349482E8</v>
      </c>
      <c r="C24" s="4">
        <v>21.339</v>
      </c>
      <c r="D24" s="4">
        <v>62.968</v>
      </c>
      <c r="E24" s="4">
        <v>21.263</v>
      </c>
      <c r="F24" s="5">
        <v>9.2</v>
      </c>
      <c r="G24" s="5">
        <v>3.1</v>
      </c>
      <c r="H24" s="4">
        <f t="shared" si="1"/>
        <v>3.11775505</v>
      </c>
      <c r="I24" s="4">
        <f t="shared" si="2"/>
        <v>3.11108028</v>
      </c>
      <c r="J24" s="4">
        <f t="shared" si="3"/>
        <v>3.114417665</v>
      </c>
      <c r="K24" s="4">
        <f t="shared" si="4"/>
        <v>2.961388327</v>
      </c>
      <c r="L24" s="4">
        <f t="shared" si="5"/>
        <v>2.967741935</v>
      </c>
      <c r="M24" s="4">
        <f t="shared" si="6"/>
        <v>-0.002140889768</v>
      </c>
      <c r="N24" s="3" t="s">
        <v>17</v>
      </c>
    </row>
    <row r="25" ht="15.75" customHeight="1">
      <c r="A25" s="6" t="s">
        <v>16</v>
      </c>
      <c r="B25" s="3">
        <v>6.48292003E8</v>
      </c>
      <c r="C25" s="4">
        <v>26.104</v>
      </c>
      <c r="D25" s="4">
        <v>58.143</v>
      </c>
      <c r="E25" s="4">
        <v>25.195</v>
      </c>
      <c r="F25" s="5">
        <v>9.2</v>
      </c>
      <c r="G25" s="5">
        <v>3.1</v>
      </c>
      <c r="H25" s="4">
        <f t="shared" si="1"/>
        <v>4.130450785</v>
      </c>
      <c r="I25" s="4">
        <f t="shared" si="2"/>
        <v>3.21184362</v>
      </c>
      <c r="J25" s="4">
        <f t="shared" si="3"/>
        <v>3.671147202</v>
      </c>
      <c r="K25" s="4">
        <f t="shared" si="4"/>
        <v>2.307719786</v>
      </c>
      <c r="L25" s="4">
        <f t="shared" si="5"/>
        <v>2.967741935</v>
      </c>
      <c r="M25" s="4">
        <f t="shared" si="6"/>
        <v>-0.2223987679</v>
      </c>
      <c r="N25" s="3" t="s">
        <v>17</v>
      </c>
    </row>
    <row r="26" ht="15.75" customHeight="1">
      <c r="A26" s="6" t="s">
        <v>16</v>
      </c>
      <c r="B26" s="3">
        <v>6.48230172E8</v>
      </c>
      <c r="C26" s="4">
        <v>19.276</v>
      </c>
      <c r="D26" s="4">
        <v>40.108</v>
      </c>
      <c r="E26" s="4">
        <v>18.527</v>
      </c>
      <c r="F26" s="5">
        <v>9.2</v>
      </c>
      <c r="G26" s="5">
        <v>3.1</v>
      </c>
      <c r="H26" s="4">
        <f t="shared" si="1"/>
        <v>4.421541837</v>
      </c>
      <c r="I26" s="4">
        <f t="shared" si="2"/>
        <v>3.225325201</v>
      </c>
      <c r="J26" s="4">
        <f t="shared" si="3"/>
        <v>3.823433519</v>
      </c>
      <c r="K26" s="4">
        <f t="shared" si="4"/>
        <v>2.164840503</v>
      </c>
      <c r="L26" s="4">
        <f t="shared" si="5"/>
        <v>2.967741935</v>
      </c>
      <c r="M26" s="4">
        <f t="shared" si="6"/>
        <v>-0.270542874</v>
      </c>
      <c r="N26" s="3" t="s">
        <v>17</v>
      </c>
    </row>
    <row r="27" ht="15.75" customHeight="1">
      <c r="A27" s="3" t="s">
        <v>16</v>
      </c>
      <c r="B27" s="3">
        <v>6.48217292E8</v>
      </c>
      <c r="C27" s="4">
        <v>25.5</v>
      </c>
      <c r="D27" s="4">
        <v>76.504</v>
      </c>
      <c r="E27" s="4">
        <v>26.667</v>
      </c>
      <c r="F27" s="5">
        <v>9.2</v>
      </c>
      <c r="G27" s="5">
        <v>3.1</v>
      </c>
      <c r="H27" s="4">
        <f t="shared" si="1"/>
        <v>3.066506326</v>
      </c>
      <c r="I27" s="4">
        <f t="shared" si="2"/>
        <v>2.964337946</v>
      </c>
      <c r="J27" s="4">
        <f t="shared" si="3"/>
        <v>3.015422136</v>
      </c>
      <c r="K27" s="4">
        <f t="shared" si="4"/>
        <v>2.868864139</v>
      </c>
      <c r="L27" s="4">
        <f t="shared" si="5"/>
        <v>2.967741935</v>
      </c>
      <c r="M27" s="4">
        <f t="shared" si="6"/>
        <v>-0.03331751831</v>
      </c>
      <c r="N27" s="3" t="s">
        <v>17</v>
      </c>
    </row>
    <row r="28" ht="15.75" customHeight="1">
      <c r="A28" s="6" t="s">
        <v>16</v>
      </c>
      <c r="B28" s="3">
        <v>6.48205371E8</v>
      </c>
      <c r="C28" s="4">
        <v>16.082</v>
      </c>
      <c r="D28" s="4">
        <v>34.52</v>
      </c>
      <c r="E28" s="4">
        <v>15.502</v>
      </c>
      <c r="F28" s="5">
        <v>9.2</v>
      </c>
      <c r="G28" s="5">
        <v>3.1</v>
      </c>
      <c r="H28" s="4">
        <f t="shared" si="1"/>
        <v>4.286048667</v>
      </c>
      <c r="I28" s="4">
        <f t="shared" si="2"/>
        <v>3.215985034</v>
      </c>
      <c r="J28" s="4">
        <f t="shared" si="3"/>
        <v>3.751016851</v>
      </c>
      <c r="K28" s="4">
        <f t="shared" si="4"/>
        <v>2.226809444</v>
      </c>
      <c r="L28" s="4">
        <f t="shared" si="5"/>
        <v>2.967741935</v>
      </c>
      <c r="M28" s="4">
        <f t="shared" si="6"/>
        <v>-0.2496620352</v>
      </c>
      <c r="N28" s="3" t="s">
        <v>17</v>
      </c>
    </row>
    <row r="29" ht="15.75" customHeight="1">
      <c r="A29" s="3" t="s">
        <v>16</v>
      </c>
      <c r="B29" s="3">
        <v>6.48139898E8</v>
      </c>
      <c r="C29" s="4">
        <v>21.542</v>
      </c>
      <c r="D29" s="4">
        <v>43.9</v>
      </c>
      <c r="E29" s="4">
        <v>15.287</v>
      </c>
      <c r="F29" s="5">
        <v>9.2</v>
      </c>
      <c r="G29" s="5">
        <v>3.1</v>
      </c>
      <c r="H29" s="4">
        <f t="shared" si="1"/>
        <v>4.514496583</v>
      </c>
      <c r="I29" s="4">
        <f t="shared" si="2"/>
        <v>4.368430693</v>
      </c>
      <c r="J29" s="4">
        <f t="shared" si="3"/>
        <v>4.441463638</v>
      </c>
      <c r="K29" s="4">
        <f t="shared" si="4"/>
        <v>2.87172107</v>
      </c>
      <c r="L29" s="4">
        <f t="shared" si="5"/>
        <v>2.967741935</v>
      </c>
      <c r="M29" s="4">
        <f t="shared" si="6"/>
        <v>-0.03235485678</v>
      </c>
      <c r="N29" s="3" t="s">
        <v>17</v>
      </c>
    </row>
    <row r="30" ht="15.75" customHeight="1">
      <c r="A30" s="6" t="s">
        <v>16</v>
      </c>
      <c r="B30" s="3">
        <v>6.48107924E8</v>
      </c>
      <c r="C30" s="4">
        <v>23.005</v>
      </c>
      <c r="D30" s="4">
        <v>56.641</v>
      </c>
      <c r="E30" s="4">
        <v>24.75</v>
      </c>
      <c r="F30" s="5">
        <v>9.2</v>
      </c>
      <c r="G30" s="5">
        <v>3.1</v>
      </c>
      <c r="H30" s="4">
        <f t="shared" si="1"/>
        <v>3.736621882</v>
      </c>
      <c r="I30" s="4">
        <f t="shared" si="2"/>
        <v>2.881434343</v>
      </c>
      <c r="J30" s="4">
        <f t="shared" si="3"/>
        <v>3.309028113</v>
      </c>
      <c r="K30" s="4">
        <f t="shared" si="4"/>
        <v>2.288525253</v>
      </c>
      <c r="L30" s="4">
        <f t="shared" si="5"/>
        <v>2.967741935</v>
      </c>
      <c r="M30" s="4">
        <f t="shared" si="6"/>
        <v>-0.228866491</v>
      </c>
      <c r="N30" s="3" t="s">
        <v>17</v>
      </c>
    </row>
    <row r="31" ht="15.75" customHeight="1">
      <c r="A31" s="6" t="s">
        <v>16</v>
      </c>
      <c r="B31" s="3">
        <v>6.48100279E8</v>
      </c>
      <c r="C31" s="4">
        <v>23.336</v>
      </c>
      <c r="D31" s="4">
        <v>44.635</v>
      </c>
      <c r="E31" s="4">
        <v>19.0</v>
      </c>
      <c r="F31" s="5">
        <v>9.2</v>
      </c>
      <c r="G31" s="5">
        <v>3.1</v>
      </c>
      <c r="H31" s="4">
        <f t="shared" si="1"/>
        <v>4.809929428</v>
      </c>
      <c r="I31" s="4">
        <f t="shared" si="2"/>
        <v>3.807452632</v>
      </c>
      <c r="J31" s="4">
        <f t="shared" si="3"/>
        <v>4.30869103</v>
      </c>
      <c r="K31" s="4">
        <f t="shared" si="4"/>
        <v>2.349210526</v>
      </c>
      <c r="L31" s="4">
        <f t="shared" si="5"/>
        <v>2.967741935</v>
      </c>
      <c r="M31" s="4">
        <f t="shared" si="6"/>
        <v>-0.2084181922</v>
      </c>
      <c r="N31" s="3" t="s">
        <v>17</v>
      </c>
    </row>
    <row r="32" ht="15.75" customHeight="1">
      <c r="A32" s="6" t="s">
        <v>16</v>
      </c>
      <c r="B32" s="3">
        <v>6.48046916E8</v>
      </c>
      <c r="C32" s="4">
        <v>18.822</v>
      </c>
      <c r="D32" s="4">
        <v>49.829</v>
      </c>
      <c r="E32" s="4">
        <v>22.739</v>
      </c>
      <c r="F32" s="5">
        <v>9.2</v>
      </c>
      <c r="G32" s="5">
        <v>3.1</v>
      </c>
      <c r="H32" s="4">
        <f t="shared" si="1"/>
        <v>3.475132955</v>
      </c>
      <c r="I32" s="4">
        <f t="shared" si="2"/>
        <v>2.565996746</v>
      </c>
      <c r="J32" s="4">
        <f t="shared" si="3"/>
        <v>3.02056485</v>
      </c>
      <c r="K32" s="4">
        <f t="shared" si="4"/>
        <v>2.191345266</v>
      </c>
      <c r="L32" s="4">
        <f t="shared" si="5"/>
        <v>2.967741935</v>
      </c>
      <c r="M32" s="4">
        <f t="shared" si="6"/>
        <v>-0.2616119213</v>
      </c>
      <c r="N32" s="3" t="s">
        <v>17</v>
      </c>
    </row>
    <row r="33" ht="15.75" customHeight="1">
      <c r="A33" s="6" t="s">
        <v>16</v>
      </c>
      <c r="B33" s="3">
        <v>6.48026948E8</v>
      </c>
      <c r="C33" s="4">
        <v>26.694</v>
      </c>
      <c r="D33" s="4">
        <v>64.713</v>
      </c>
      <c r="E33" s="4">
        <v>30.644</v>
      </c>
      <c r="F33" s="5">
        <v>9.2</v>
      </c>
      <c r="G33" s="5">
        <v>3.1</v>
      </c>
      <c r="H33" s="4">
        <f t="shared" si="1"/>
        <v>3.794984006</v>
      </c>
      <c r="I33" s="4">
        <f t="shared" si="2"/>
        <v>2.700411173</v>
      </c>
      <c r="J33" s="4">
        <f t="shared" si="3"/>
        <v>3.24769759</v>
      </c>
      <c r="K33" s="4">
        <f t="shared" si="4"/>
        <v>2.111767393</v>
      </c>
      <c r="L33" s="4">
        <f t="shared" si="5"/>
        <v>2.967741935</v>
      </c>
      <c r="M33" s="4">
        <f t="shared" si="6"/>
        <v>-0.2884262044</v>
      </c>
      <c r="N33" s="3" t="s">
        <v>17</v>
      </c>
    </row>
    <row r="34" ht="15.75" customHeight="1">
      <c r="A34" s="3" t="s">
        <v>16</v>
      </c>
      <c r="B34" s="3">
        <v>6.32044641E8</v>
      </c>
      <c r="C34" s="4">
        <v>48.216</v>
      </c>
      <c r="D34" s="4">
        <v>113.187</v>
      </c>
      <c r="E34" s="4">
        <v>41.608</v>
      </c>
      <c r="F34" s="5">
        <v>9.2</v>
      </c>
      <c r="G34" s="5">
        <v>3.1</v>
      </c>
      <c r="H34" s="4">
        <f t="shared" si="1"/>
        <v>3.91906491</v>
      </c>
      <c r="I34" s="4">
        <f t="shared" si="2"/>
        <v>3.592328398</v>
      </c>
      <c r="J34" s="4">
        <f t="shared" si="3"/>
        <v>3.755696654</v>
      </c>
      <c r="K34" s="4">
        <f t="shared" si="4"/>
        <v>2.720318208</v>
      </c>
      <c r="L34" s="4">
        <f t="shared" si="5"/>
        <v>2.967741935</v>
      </c>
      <c r="M34" s="4">
        <f t="shared" si="6"/>
        <v>-0.0833710386</v>
      </c>
      <c r="N34" s="3" t="s">
        <v>17</v>
      </c>
    </row>
    <row r="35" ht="15.75" customHeight="1">
      <c r="A35" s="7" t="s">
        <v>16</v>
      </c>
      <c r="B35" s="3">
        <v>6.27255371E8</v>
      </c>
      <c r="C35" s="4">
        <v>54.829</v>
      </c>
      <c r="D35" s="4">
        <v>130.863</v>
      </c>
      <c r="E35" s="4">
        <v>43.342</v>
      </c>
      <c r="F35" s="5">
        <v>9.2</v>
      </c>
      <c r="G35" s="5">
        <v>3.1</v>
      </c>
      <c r="H35" s="4">
        <f t="shared" si="1"/>
        <v>3.854617424</v>
      </c>
      <c r="I35" s="4">
        <f t="shared" si="2"/>
        <v>3.921597988</v>
      </c>
      <c r="J35" s="4">
        <f t="shared" si="3"/>
        <v>3.888107706</v>
      </c>
      <c r="K35" s="4">
        <f t="shared" si="4"/>
        <v>3.019311522</v>
      </c>
      <c r="L35" s="4">
        <f t="shared" si="5"/>
        <v>2.967741935</v>
      </c>
      <c r="M35" s="4">
        <f t="shared" si="6"/>
        <v>0.0173767086</v>
      </c>
      <c r="N35" s="3" t="s">
        <v>17</v>
      </c>
    </row>
    <row r="36" ht="15.75" customHeight="1">
      <c r="A36" s="3" t="s">
        <v>16</v>
      </c>
      <c r="B36" s="3">
        <v>6.25575312E8</v>
      </c>
      <c r="C36" s="4">
        <v>48.256</v>
      </c>
      <c r="D36" s="4">
        <v>121.467</v>
      </c>
      <c r="E36" s="4">
        <v>43.292</v>
      </c>
      <c r="F36" s="5">
        <v>9.2</v>
      </c>
      <c r="G36" s="5">
        <v>3.1</v>
      </c>
      <c r="H36" s="4">
        <f t="shared" si="1"/>
        <v>3.654944964</v>
      </c>
      <c r="I36" s="4">
        <f t="shared" si="2"/>
        <v>3.455455973</v>
      </c>
      <c r="J36" s="4">
        <f t="shared" si="3"/>
        <v>3.555200469</v>
      </c>
      <c r="K36" s="4">
        <f t="shared" si="4"/>
        <v>2.80576088</v>
      </c>
      <c r="L36" s="4">
        <f t="shared" si="5"/>
        <v>2.967741935</v>
      </c>
      <c r="M36" s="4">
        <f t="shared" si="6"/>
        <v>-0.05458057318</v>
      </c>
      <c r="N36" s="3" t="s">
        <v>17</v>
      </c>
    </row>
    <row r="37" ht="15.75" customHeight="1">
      <c r="A37" s="3" t="s">
        <v>16</v>
      </c>
      <c r="B37" s="3">
        <v>6.12787618E8</v>
      </c>
      <c r="C37" s="4">
        <v>58.447</v>
      </c>
      <c r="D37" s="4">
        <v>142.274</v>
      </c>
      <c r="E37" s="4">
        <v>45.437</v>
      </c>
      <c r="F37" s="5">
        <v>9.2</v>
      </c>
      <c r="G37" s="5">
        <v>3.1</v>
      </c>
      <c r="H37" s="4">
        <f t="shared" si="1"/>
        <v>3.779414369</v>
      </c>
      <c r="I37" s="4">
        <f t="shared" si="2"/>
        <v>3.987624623</v>
      </c>
      <c r="J37" s="4">
        <f t="shared" si="3"/>
        <v>3.883519496</v>
      </c>
      <c r="K37" s="4">
        <f t="shared" si="4"/>
        <v>3.131236657</v>
      </c>
      <c r="L37" s="4">
        <f t="shared" si="5"/>
        <v>2.967741935</v>
      </c>
      <c r="M37" s="4">
        <f t="shared" si="6"/>
        <v>0.0550906128</v>
      </c>
      <c r="N37" s="3" t="s">
        <v>17</v>
      </c>
    </row>
    <row r="38" ht="15.75" customHeight="1">
      <c r="A38" s="3" t="s">
        <v>16</v>
      </c>
      <c r="B38" s="3">
        <v>3.17652261E8</v>
      </c>
      <c r="C38" s="4">
        <v>52.24</v>
      </c>
      <c r="D38" s="4">
        <v>127.907</v>
      </c>
      <c r="E38" s="4">
        <v>41.635</v>
      </c>
      <c r="F38" s="5">
        <v>9.2</v>
      </c>
      <c r="G38" s="5">
        <v>3.1</v>
      </c>
      <c r="H38" s="4">
        <f t="shared" si="1"/>
        <v>3.757480044</v>
      </c>
      <c r="I38" s="4">
        <f t="shared" si="2"/>
        <v>3.889612105</v>
      </c>
      <c r="J38" s="4">
        <f t="shared" si="3"/>
        <v>3.823546075</v>
      </c>
      <c r="K38" s="4">
        <f t="shared" si="4"/>
        <v>3.072102798</v>
      </c>
      <c r="L38" s="4">
        <f t="shared" si="5"/>
        <v>2.967741935</v>
      </c>
      <c r="M38" s="4">
        <f t="shared" si="6"/>
        <v>0.03516507328</v>
      </c>
      <c r="N38" s="3" t="s">
        <v>17</v>
      </c>
    </row>
    <row r="39" ht="15.75" customHeight="1">
      <c r="A39" s="3" t="s">
        <v>16</v>
      </c>
      <c r="B39" s="3">
        <v>2.96744781E8</v>
      </c>
      <c r="C39" s="4">
        <v>46.325</v>
      </c>
      <c r="D39" s="4">
        <v>94.22</v>
      </c>
      <c r="E39" s="4">
        <v>35.41</v>
      </c>
      <c r="F39" s="5">
        <v>9.2</v>
      </c>
      <c r="G39" s="5">
        <v>3.1</v>
      </c>
      <c r="H39" s="4">
        <f t="shared" si="1"/>
        <v>4.523349607</v>
      </c>
      <c r="I39" s="4">
        <f t="shared" si="2"/>
        <v>4.0555634</v>
      </c>
      <c r="J39" s="4">
        <f t="shared" si="3"/>
        <v>4.289456504</v>
      </c>
      <c r="K39" s="4">
        <f t="shared" si="4"/>
        <v>2.660830274</v>
      </c>
      <c r="L39" s="4">
        <f t="shared" si="5"/>
        <v>2.967741935</v>
      </c>
      <c r="M39" s="4">
        <f t="shared" si="6"/>
        <v>-0.103415886</v>
      </c>
      <c r="N39" s="3" t="s">
        <v>17</v>
      </c>
    </row>
    <row r="40" ht="15.75" customHeight="1">
      <c r="A40" s="3" t="s">
        <v>16</v>
      </c>
      <c r="B40" s="3">
        <v>2.67267561E8</v>
      </c>
      <c r="C40" s="4">
        <v>47.242</v>
      </c>
      <c r="D40" s="4">
        <v>101.011</v>
      </c>
      <c r="E40" s="4">
        <v>37.121</v>
      </c>
      <c r="F40" s="5">
        <v>9.2</v>
      </c>
      <c r="G40" s="5">
        <v>3.1</v>
      </c>
      <c r="H40" s="4">
        <f t="shared" si="1"/>
        <v>4.302763065</v>
      </c>
      <c r="I40" s="4">
        <f t="shared" si="2"/>
        <v>3.945211605</v>
      </c>
      <c r="J40" s="4">
        <f t="shared" si="3"/>
        <v>4.123987335</v>
      </c>
      <c r="K40" s="4">
        <f t="shared" si="4"/>
        <v>2.721128202</v>
      </c>
      <c r="L40" s="4">
        <f t="shared" si="5"/>
        <v>2.967741935</v>
      </c>
      <c r="M40" s="4">
        <f t="shared" si="6"/>
        <v>-0.08309810572</v>
      </c>
      <c r="N40" s="3" t="s">
        <v>17</v>
      </c>
    </row>
    <row r="41" ht="15.75" customHeight="1">
      <c r="A41" s="6" t="s">
        <v>16</v>
      </c>
      <c r="B41" s="3">
        <v>1.08134211E8</v>
      </c>
      <c r="C41" s="4">
        <v>48.508</v>
      </c>
      <c r="D41" s="4">
        <v>116.951</v>
      </c>
      <c r="E41" s="4">
        <v>46.706</v>
      </c>
      <c r="F41" s="5">
        <v>9.2</v>
      </c>
      <c r="G41" s="5">
        <v>3.1</v>
      </c>
      <c r="H41" s="4">
        <f t="shared" si="1"/>
        <v>3.815902386</v>
      </c>
      <c r="I41" s="4">
        <f t="shared" si="2"/>
        <v>3.219603477</v>
      </c>
      <c r="J41" s="4">
        <f t="shared" si="3"/>
        <v>3.517752932</v>
      </c>
      <c r="K41" s="4">
        <f t="shared" si="4"/>
        <v>2.503982358</v>
      </c>
      <c r="L41" s="4">
        <f t="shared" si="5"/>
        <v>2.967741935</v>
      </c>
      <c r="M41" s="4">
        <f t="shared" si="6"/>
        <v>-0.1562668142</v>
      </c>
      <c r="N41" s="3" t="s">
        <v>17</v>
      </c>
    </row>
    <row r="42" ht="15.75" customHeight="1">
      <c r="A42" s="3" t="s">
        <v>16</v>
      </c>
      <c r="B42" s="3">
        <v>8.1345741E7</v>
      </c>
      <c r="C42" s="4">
        <v>74.092</v>
      </c>
      <c r="D42" s="4">
        <v>170.573</v>
      </c>
      <c r="E42" s="4">
        <v>55.167</v>
      </c>
      <c r="F42" s="5">
        <v>9.2</v>
      </c>
      <c r="G42" s="5">
        <v>3.1</v>
      </c>
      <c r="H42" s="4">
        <f t="shared" si="1"/>
        <v>3.99621511</v>
      </c>
      <c r="I42" s="4">
        <f t="shared" si="2"/>
        <v>4.163452789</v>
      </c>
      <c r="J42" s="4">
        <f t="shared" si="3"/>
        <v>4.07983395</v>
      </c>
      <c r="K42" s="4">
        <f t="shared" si="4"/>
        <v>3.091939022</v>
      </c>
      <c r="L42" s="4">
        <f t="shared" si="5"/>
        <v>2.967741935</v>
      </c>
      <c r="M42" s="4">
        <f t="shared" si="6"/>
        <v>0.04184901812</v>
      </c>
      <c r="N42" s="3" t="s">
        <v>17</v>
      </c>
    </row>
    <row r="43" ht="15.75" customHeight="1">
      <c r="A43" s="3" t="s">
        <v>16</v>
      </c>
      <c r="B43" s="3">
        <v>6.1409212E8</v>
      </c>
      <c r="C43" s="4">
        <v>64.364</v>
      </c>
      <c r="D43" s="4">
        <v>148.258</v>
      </c>
      <c r="E43" s="4">
        <v>51.521</v>
      </c>
      <c r="F43" s="5">
        <v>9.2</v>
      </c>
      <c r="G43" s="5">
        <v>3.1</v>
      </c>
      <c r="H43" s="4">
        <f t="shared" si="1"/>
        <v>3.994042817</v>
      </c>
      <c r="I43" s="4">
        <f t="shared" si="2"/>
        <v>3.872758681</v>
      </c>
      <c r="J43" s="4">
        <f t="shared" si="3"/>
        <v>3.933400749</v>
      </c>
      <c r="K43" s="4">
        <f t="shared" si="4"/>
        <v>2.877622717</v>
      </c>
      <c r="L43" s="4">
        <f t="shared" si="5"/>
        <v>2.967741935</v>
      </c>
      <c r="M43" s="4">
        <f t="shared" si="6"/>
        <v>-0.03036625842</v>
      </c>
      <c r="N43" s="3" t="s">
        <v>17</v>
      </c>
    </row>
    <row r="44" ht="15.75" customHeight="1">
      <c r="A44" s="3" t="s">
        <v>16</v>
      </c>
      <c r="B44" s="8">
        <v>6.0994581E7</v>
      </c>
      <c r="C44" s="9">
        <v>86.006</v>
      </c>
      <c r="D44" s="9">
        <v>202.781</v>
      </c>
      <c r="E44" s="9">
        <v>75.69</v>
      </c>
      <c r="F44" s="5">
        <v>9.2</v>
      </c>
      <c r="G44" s="5">
        <v>3.1</v>
      </c>
      <c r="H44" s="4">
        <f t="shared" si="1"/>
        <v>3.902018434</v>
      </c>
      <c r="I44" s="4">
        <f t="shared" si="2"/>
        <v>3.522507597</v>
      </c>
      <c r="J44" s="4">
        <f t="shared" si="3"/>
        <v>3.712263015</v>
      </c>
      <c r="K44" s="4">
        <f t="shared" si="4"/>
        <v>2.679098956</v>
      </c>
      <c r="L44" s="4">
        <f t="shared" si="5"/>
        <v>2.967741935</v>
      </c>
      <c r="M44" s="4">
        <f t="shared" si="6"/>
        <v>-0.0972601343</v>
      </c>
      <c r="N44" s="3" t="s">
        <v>17</v>
      </c>
    </row>
    <row r="45" ht="15.75" customHeight="1">
      <c r="A45" s="3" t="s">
        <v>16</v>
      </c>
      <c r="B45" s="10">
        <v>2.04593061E8</v>
      </c>
      <c r="C45" s="9">
        <v>60.166</v>
      </c>
      <c r="D45" s="9">
        <v>136.0</v>
      </c>
      <c r="E45" s="9">
        <v>50.04</v>
      </c>
      <c r="F45" s="5">
        <v>9.2</v>
      </c>
      <c r="G45" s="5">
        <v>3.1</v>
      </c>
      <c r="H45" s="4">
        <f t="shared" si="1"/>
        <v>4.070052941</v>
      </c>
      <c r="I45" s="4">
        <f t="shared" si="2"/>
        <v>3.727310152</v>
      </c>
      <c r="J45" s="4">
        <f t="shared" si="3"/>
        <v>3.898681547</v>
      </c>
      <c r="K45" s="4">
        <f t="shared" si="4"/>
        <v>2.717825739</v>
      </c>
      <c r="L45" s="4">
        <f t="shared" si="5"/>
        <v>2.967741935</v>
      </c>
      <c r="M45" s="4">
        <f t="shared" si="6"/>
        <v>-0.08421089216</v>
      </c>
      <c r="N45" s="3" t="s">
        <v>17</v>
      </c>
    </row>
    <row r="46" ht="15.75" customHeight="1">
      <c r="A46" s="6" t="s">
        <v>18</v>
      </c>
      <c r="B46" s="3">
        <v>6.47644283E8</v>
      </c>
      <c r="C46" s="4">
        <v>43.186</v>
      </c>
      <c r="D46" s="4">
        <v>79.188</v>
      </c>
      <c r="E46" s="4">
        <v>49.0</v>
      </c>
      <c r="F46" s="5">
        <v>14.9</v>
      </c>
      <c r="G46" s="5">
        <v>7.6</v>
      </c>
      <c r="H46" s="4">
        <f t="shared" si="1"/>
        <v>8.125870081</v>
      </c>
      <c r="I46" s="4">
        <f t="shared" si="2"/>
        <v>6.698236735</v>
      </c>
      <c r="J46" s="4">
        <f t="shared" si="3"/>
        <v>7.412053408</v>
      </c>
      <c r="K46" s="4">
        <f t="shared" si="4"/>
        <v>1.616081633</v>
      </c>
      <c r="L46" s="4">
        <f t="shared" si="5"/>
        <v>1.960526316</v>
      </c>
      <c r="M46" s="4">
        <f t="shared" si="6"/>
        <v>-0.1756899055</v>
      </c>
      <c r="N46" s="3" t="s">
        <v>19</v>
      </c>
    </row>
    <row r="47" ht="15.75" customHeight="1">
      <c r="A47" s="3" t="s">
        <v>18</v>
      </c>
      <c r="B47" s="3">
        <v>6.47726963E8</v>
      </c>
      <c r="C47" s="4">
        <v>35.257</v>
      </c>
      <c r="D47" s="4">
        <v>66.098</v>
      </c>
      <c r="E47" s="4">
        <v>36.251</v>
      </c>
      <c r="F47" s="5">
        <v>14.9</v>
      </c>
      <c r="G47" s="5">
        <v>7.6</v>
      </c>
      <c r="H47" s="4">
        <f t="shared" si="1"/>
        <v>7.947733668</v>
      </c>
      <c r="I47" s="4">
        <f t="shared" si="2"/>
        <v>7.391608507</v>
      </c>
      <c r="J47" s="4">
        <f t="shared" si="3"/>
        <v>7.669671088</v>
      </c>
      <c r="K47" s="4">
        <f t="shared" si="4"/>
        <v>1.823342804</v>
      </c>
      <c r="L47" s="4">
        <f t="shared" si="5"/>
        <v>1.960526316</v>
      </c>
      <c r="M47" s="4">
        <f t="shared" si="6"/>
        <v>-0.06997279779</v>
      </c>
      <c r="N47" s="3" t="s">
        <v>19</v>
      </c>
    </row>
    <row r="48" ht="15.75" customHeight="1">
      <c r="A48" s="11" t="s">
        <v>18</v>
      </c>
      <c r="B48" s="3">
        <v>6.47835895E8</v>
      </c>
      <c r="C48" s="4">
        <v>36.014</v>
      </c>
      <c r="D48" s="4">
        <v>61.718</v>
      </c>
      <c r="E48" s="4">
        <v>35.167</v>
      </c>
      <c r="F48" s="5">
        <v>14.9</v>
      </c>
      <c r="G48" s="5">
        <v>7.6</v>
      </c>
      <c r="H48" s="4">
        <f t="shared" si="1"/>
        <v>8.694523478</v>
      </c>
      <c r="I48" s="4">
        <f t="shared" si="2"/>
        <v>7.783046606</v>
      </c>
      <c r="J48" s="4">
        <f t="shared" si="3"/>
        <v>8.238785042</v>
      </c>
      <c r="K48" s="4">
        <f t="shared" si="4"/>
        <v>1.754997583</v>
      </c>
      <c r="L48" s="4">
        <f t="shared" si="5"/>
        <v>1.960526316</v>
      </c>
      <c r="M48" s="4">
        <f t="shared" si="6"/>
        <v>-0.1048334476</v>
      </c>
      <c r="N48" s="3" t="s">
        <v>19</v>
      </c>
    </row>
    <row r="49" ht="15.75" customHeight="1">
      <c r="A49" s="3" t="s">
        <v>18</v>
      </c>
      <c r="B49" s="3">
        <v>6.47950821E8</v>
      </c>
      <c r="C49" s="4">
        <v>41.825</v>
      </c>
      <c r="D49" s="4">
        <v>85.336</v>
      </c>
      <c r="E49" s="4">
        <v>46.99</v>
      </c>
      <c r="F49" s="5">
        <v>14.9</v>
      </c>
      <c r="G49" s="5">
        <v>7.6</v>
      </c>
      <c r="H49" s="4">
        <f t="shared" si="1"/>
        <v>7.302808897</v>
      </c>
      <c r="I49" s="4">
        <f t="shared" si="2"/>
        <v>6.764630773</v>
      </c>
      <c r="J49" s="4">
        <f t="shared" si="3"/>
        <v>7.033719835</v>
      </c>
      <c r="K49" s="4">
        <f t="shared" si="4"/>
        <v>1.816045967</v>
      </c>
      <c r="L49" s="4">
        <f t="shared" si="5"/>
        <v>1.960526316</v>
      </c>
      <c r="M49" s="4">
        <f t="shared" si="6"/>
        <v>-0.07369467443</v>
      </c>
      <c r="N49" s="3" t="s">
        <v>19</v>
      </c>
    </row>
    <row r="50" ht="15.75" customHeight="1">
      <c r="A50" s="3" t="s">
        <v>18</v>
      </c>
      <c r="B50" s="3">
        <v>6.47961013E8</v>
      </c>
      <c r="C50" s="4">
        <v>31.798</v>
      </c>
      <c r="D50" s="4">
        <v>70.695</v>
      </c>
      <c r="E50" s="4">
        <v>33.5</v>
      </c>
      <c r="F50" s="5">
        <v>14.9</v>
      </c>
      <c r="G50" s="5">
        <v>7.6</v>
      </c>
      <c r="H50" s="4">
        <f t="shared" si="1"/>
        <v>6.701891223</v>
      </c>
      <c r="I50" s="4">
        <f t="shared" si="2"/>
        <v>7.213874627</v>
      </c>
      <c r="J50" s="4">
        <f t="shared" si="3"/>
        <v>6.957882925</v>
      </c>
      <c r="K50" s="4">
        <f t="shared" si="4"/>
        <v>2.110298507</v>
      </c>
      <c r="L50" s="4">
        <f t="shared" si="5"/>
        <v>1.960526316</v>
      </c>
      <c r="M50" s="4">
        <f t="shared" si="6"/>
        <v>0.07639386958</v>
      </c>
      <c r="N50" s="3" t="s">
        <v>19</v>
      </c>
    </row>
    <row r="51" ht="15.75" customHeight="1">
      <c r="A51" s="3" t="s">
        <v>18</v>
      </c>
      <c r="B51" s="3">
        <v>6.48114529E8</v>
      </c>
      <c r="C51" s="4">
        <v>40.063</v>
      </c>
      <c r="D51" s="4">
        <v>71.818</v>
      </c>
      <c r="E51" s="4">
        <v>40.179</v>
      </c>
      <c r="F51" s="5">
        <v>14.9</v>
      </c>
      <c r="G51" s="5">
        <v>7.6</v>
      </c>
      <c r="H51" s="4">
        <f t="shared" si="1"/>
        <v>8.311825726</v>
      </c>
      <c r="I51" s="4">
        <f t="shared" si="2"/>
        <v>7.57805819</v>
      </c>
      <c r="J51" s="4">
        <f t="shared" si="3"/>
        <v>7.944941958</v>
      </c>
      <c r="K51" s="4">
        <f t="shared" si="4"/>
        <v>1.787451156</v>
      </c>
      <c r="L51" s="4">
        <f t="shared" si="5"/>
        <v>1.960526316</v>
      </c>
      <c r="M51" s="4">
        <f t="shared" si="6"/>
        <v>-0.08827994724</v>
      </c>
      <c r="N51" s="3" t="s">
        <v>19</v>
      </c>
    </row>
    <row r="52" ht="15.75" customHeight="1">
      <c r="A52" s="3" t="s">
        <v>18</v>
      </c>
      <c r="B52" s="3">
        <v>6.48118623E8</v>
      </c>
      <c r="C52" s="4">
        <v>32.826</v>
      </c>
      <c r="D52" s="4">
        <v>72.131</v>
      </c>
      <c r="E52" s="4">
        <v>38.635</v>
      </c>
      <c r="F52" s="5">
        <v>14.9</v>
      </c>
      <c r="G52" s="5">
        <v>7.6</v>
      </c>
      <c r="H52" s="4">
        <f t="shared" si="1"/>
        <v>6.780821006</v>
      </c>
      <c r="I52" s="4">
        <f t="shared" si="2"/>
        <v>6.457295199</v>
      </c>
      <c r="J52" s="4">
        <f t="shared" si="3"/>
        <v>6.619058102</v>
      </c>
      <c r="K52" s="4">
        <f t="shared" si="4"/>
        <v>1.866985894</v>
      </c>
      <c r="L52" s="4">
        <f t="shared" si="5"/>
        <v>1.960526316</v>
      </c>
      <c r="M52" s="4">
        <f t="shared" si="6"/>
        <v>-0.04771189319</v>
      </c>
      <c r="N52" s="3" t="s">
        <v>19</v>
      </c>
    </row>
    <row r="53" ht="15.75" customHeight="1">
      <c r="A53" s="3" t="s">
        <v>18</v>
      </c>
      <c r="B53" s="3">
        <v>6.48171842E8</v>
      </c>
      <c r="C53" s="4">
        <v>28.333</v>
      </c>
      <c r="D53" s="4">
        <v>56.286</v>
      </c>
      <c r="E53" s="4">
        <v>30.085</v>
      </c>
      <c r="F53" s="5">
        <v>14.9</v>
      </c>
      <c r="G53" s="5">
        <v>7.6</v>
      </c>
      <c r="H53" s="4">
        <f t="shared" si="1"/>
        <v>7.500296699</v>
      </c>
      <c r="I53" s="4">
        <f t="shared" si="2"/>
        <v>7.157413994</v>
      </c>
      <c r="J53" s="4">
        <f t="shared" si="3"/>
        <v>7.328855346</v>
      </c>
      <c r="K53" s="4">
        <f t="shared" si="4"/>
        <v>1.870899119</v>
      </c>
      <c r="L53" s="4">
        <f t="shared" si="5"/>
        <v>1.960526316</v>
      </c>
      <c r="M53" s="4">
        <f t="shared" si="6"/>
        <v>-0.04571588553</v>
      </c>
      <c r="N53" s="3" t="s">
        <v>19</v>
      </c>
    </row>
    <row r="54" ht="15.75" customHeight="1">
      <c r="A54" s="2" t="s">
        <v>18</v>
      </c>
      <c r="B54" s="3">
        <v>6.48272416E8</v>
      </c>
      <c r="C54" s="4">
        <v>42.065</v>
      </c>
      <c r="D54" s="4">
        <v>83.941</v>
      </c>
      <c r="E54" s="4">
        <v>37.25</v>
      </c>
      <c r="F54" s="5">
        <v>14.9</v>
      </c>
      <c r="G54" s="5">
        <v>7.6</v>
      </c>
      <c r="H54" s="4">
        <f t="shared" si="1"/>
        <v>7.466774282</v>
      </c>
      <c r="I54" s="4">
        <f t="shared" si="2"/>
        <v>8.582389262</v>
      </c>
      <c r="J54" s="4">
        <f t="shared" si="3"/>
        <v>8.024581772</v>
      </c>
      <c r="K54" s="4">
        <f t="shared" si="4"/>
        <v>2.253449664</v>
      </c>
      <c r="L54" s="4">
        <f t="shared" si="5"/>
        <v>1.960526316</v>
      </c>
      <c r="M54" s="4">
        <f t="shared" si="6"/>
        <v>0.1494105671</v>
      </c>
      <c r="N54" s="3" t="s">
        <v>19</v>
      </c>
    </row>
    <row r="55" ht="15.75" customHeight="1">
      <c r="A55" s="3" t="s">
        <v>18</v>
      </c>
      <c r="B55" s="3">
        <v>6.48294046E8</v>
      </c>
      <c r="C55" s="4">
        <v>29.275</v>
      </c>
      <c r="D55" s="4">
        <v>61.012</v>
      </c>
      <c r="E55" s="4">
        <v>29.517</v>
      </c>
      <c r="F55" s="5">
        <v>14.9</v>
      </c>
      <c r="G55" s="5">
        <v>7.6</v>
      </c>
      <c r="H55" s="4">
        <f t="shared" si="1"/>
        <v>7.149372255</v>
      </c>
      <c r="I55" s="4">
        <f t="shared" si="2"/>
        <v>7.537690145</v>
      </c>
      <c r="J55" s="4">
        <f t="shared" si="3"/>
        <v>7.3435312</v>
      </c>
      <c r="K55" s="4">
        <f t="shared" si="4"/>
        <v>2.06701223</v>
      </c>
      <c r="L55" s="4">
        <f t="shared" si="5"/>
        <v>1.960526316</v>
      </c>
      <c r="M55" s="4">
        <f t="shared" si="6"/>
        <v>0.05431496308</v>
      </c>
      <c r="N55" s="3" t="s">
        <v>19</v>
      </c>
    </row>
    <row r="56" ht="15.75" customHeight="1">
      <c r="A56" s="3" t="s">
        <v>18</v>
      </c>
      <c r="B56" s="3">
        <v>6.48358704E8</v>
      </c>
      <c r="C56" s="4">
        <v>32.215</v>
      </c>
      <c r="D56" s="4">
        <v>65.609</v>
      </c>
      <c r="E56" s="4">
        <v>32.259</v>
      </c>
      <c r="F56" s="5">
        <v>14.9</v>
      </c>
      <c r="G56" s="5">
        <v>7.6</v>
      </c>
      <c r="H56" s="4">
        <f t="shared" si="1"/>
        <v>7.316122788</v>
      </c>
      <c r="I56" s="4">
        <f t="shared" si="2"/>
        <v>7.589633901</v>
      </c>
      <c r="J56" s="4">
        <f t="shared" si="3"/>
        <v>7.452878344</v>
      </c>
      <c r="K56" s="4">
        <f t="shared" si="4"/>
        <v>2.033820019</v>
      </c>
      <c r="L56" s="4">
        <f t="shared" si="5"/>
        <v>1.960526316</v>
      </c>
      <c r="M56" s="4">
        <f t="shared" si="6"/>
        <v>0.03738470779</v>
      </c>
      <c r="N56" s="3" t="s">
        <v>19</v>
      </c>
    </row>
    <row r="57" ht="15.75" customHeight="1">
      <c r="A57" s="3" t="s">
        <v>18</v>
      </c>
      <c r="B57" s="3">
        <v>6.48482556E8</v>
      </c>
      <c r="C57" s="4">
        <v>20.989</v>
      </c>
      <c r="D57" s="4">
        <v>46.649</v>
      </c>
      <c r="E57" s="4">
        <v>24.333</v>
      </c>
      <c r="F57" s="5">
        <v>14.9</v>
      </c>
      <c r="G57" s="5">
        <v>7.6</v>
      </c>
      <c r="H57" s="4">
        <f t="shared" si="1"/>
        <v>6.70402581</v>
      </c>
      <c r="I57" s="4">
        <f t="shared" si="2"/>
        <v>6.555558295</v>
      </c>
      <c r="J57" s="4">
        <f t="shared" si="3"/>
        <v>6.629792053</v>
      </c>
      <c r="K57" s="4">
        <f t="shared" si="4"/>
        <v>1.917108454</v>
      </c>
      <c r="L57" s="4">
        <f t="shared" si="5"/>
        <v>1.960526316</v>
      </c>
      <c r="M57" s="4">
        <f t="shared" si="6"/>
        <v>-0.0221460237</v>
      </c>
      <c r="N57" s="3" t="s">
        <v>19</v>
      </c>
    </row>
    <row r="58" ht="15.75" customHeight="1">
      <c r="A58" s="3" t="s">
        <v>18</v>
      </c>
      <c r="B58" s="3">
        <v>6.48543141E8</v>
      </c>
      <c r="C58" s="4">
        <v>33.634</v>
      </c>
      <c r="D58" s="4">
        <v>69.721</v>
      </c>
      <c r="E58" s="4">
        <v>34.751</v>
      </c>
      <c r="F58" s="5">
        <v>14.9</v>
      </c>
      <c r="G58" s="5">
        <v>7.6</v>
      </c>
      <c r="H58" s="4">
        <f t="shared" si="1"/>
        <v>7.187886003</v>
      </c>
      <c r="I58" s="4">
        <f t="shared" si="2"/>
        <v>7.355713505</v>
      </c>
      <c r="J58" s="4">
        <f t="shared" si="3"/>
        <v>7.271799754</v>
      </c>
      <c r="K58" s="4">
        <f t="shared" si="4"/>
        <v>2.006301977</v>
      </c>
      <c r="L58" s="4">
        <f t="shared" si="5"/>
        <v>1.960526316</v>
      </c>
      <c r="M58" s="4">
        <f t="shared" si="6"/>
        <v>0.02334865937</v>
      </c>
      <c r="N58" s="3" t="s">
        <v>19</v>
      </c>
    </row>
    <row r="59" ht="15.75" customHeight="1">
      <c r="A59" s="3" t="s">
        <v>18</v>
      </c>
      <c r="B59" s="3">
        <v>6.48593065E8</v>
      </c>
      <c r="C59" s="4">
        <v>25.987</v>
      </c>
      <c r="D59" s="4">
        <v>55.036</v>
      </c>
      <c r="E59" s="4">
        <v>30.004</v>
      </c>
      <c r="F59" s="5">
        <v>14.9</v>
      </c>
      <c r="G59" s="5">
        <v>7.6</v>
      </c>
      <c r="H59" s="4">
        <f t="shared" si="1"/>
        <v>7.035509485</v>
      </c>
      <c r="I59" s="4">
        <f t="shared" si="2"/>
        <v>6.582495667</v>
      </c>
      <c r="J59" s="4">
        <f t="shared" si="3"/>
        <v>6.809002576</v>
      </c>
      <c r="K59" s="4">
        <f t="shared" si="4"/>
        <v>1.834288761</v>
      </c>
      <c r="L59" s="4">
        <f t="shared" si="5"/>
        <v>1.960526316</v>
      </c>
      <c r="M59" s="4">
        <f t="shared" si="6"/>
        <v>-0.06438962501</v>
      </c>
      <c r="N59" s="3" t="s">
        <v>19</v>
      </c>
    </row>
    <row r="60" ht="15.75" customHeight="1">
      <c r="A60" s="3" t="s">
        <v>18</v>
      </c>
      <c r="B60" s="3">
        <v>6.47811637E8</v>
      </c>
      <c r="C60" s="4">
        <v>40.613</v>
      </c>
      <c r="D60" s="4">
        <v>76.577</v>
      </c>
      <c r="E60" s="4">
        <v>40.001</v>
      </c>
      <c r="F60" s="5">
        <v>14.9</v>
      </c>
      <c r="G60" s="5">
        <v>7.6</v>
      </c>
      <c r="H60" s="4">
        <f t="shared" si="1"/>
        <v>7.902290505</v>
      </c>
      <c r="I60" s="4">
        <f t="shared" si="2"/>
        <v>7.716277093</v>
      </c>
      <c r="J60" s="4">
        <f t="shared" si="3"/>
        <v>7.809283799</v>
      </c>
      <c r="K60" s="4">
        <f t="shared" si="4"/>
        <v>1.914377141</v>
      </c>
      <c r="L60" s="4">
        <f t="shared" si="5"/>
        <v>1.960526316</v>
      </c>
      <c r="M60" s="4">
        <f t="shared" si="6"/>
        <v>-0.02353917662</v>
      </c>
      <c r="N60" s="3" t="s">
        <v>19</v>
      </c>
    </row>
    <row r="61" ht="15.75" customHeight="1">
      <c r="A61" s="3" t="s">
        <v>18</v>
      </c>
      <c r="B61" s="3">
        <v>6.36389344E8</v>
      </c>
      <c r="C61" s="4">
        <v>44.95</v>
      </c>
      <c r="D61" s="4">
        <v>89.473</v>
      </c>
      <c r="E61" s="4">
        <v>43.252</v>
      </c>
      <c r="F61" s="5">
        <v>14.9</v>
      </c>
      <c r="G61" s="5">
        <v>7.6</v>
      </c>
      <c r="H61" s="4">
        <f t="shared" si="1"/>
        <v>7.485554301</v>
      </c>
      <c r="I61" s="4">
        <f t="shared" si="2"/>
        <v>7.898363081</v>
      </c>
      <c r="J61" s="4">
        <f t="shared" si="3"/>
        <v>7.691958691</v>
      </c>
      <c r="K61" s="4">
        <f t="shared" si="4"/>
        <v>2.068644225</v>
      </c>
      <c r="L61" s="4">
        <f t="shared" si="5"/>
        <v>1.960526316</v>
      </c>
      <c r="M61" s="4">
        <f t="shared" si="6"/>
        <v>0.0551473897</v>
      </c>
      <c r="N61" s="3" t="s">
        <v>19</v>
      </c>
    </row>
    <row r="62" ht="15.75" customHeight="1">
      <c r="A62" s="3" t="s">
        <v>18</v>
      </c>
      <c r="B62" s="3">
        <v>1.68456991E8</v>
      </c>
      <c r="C62" s="4">
        <v>61.672</v>
      </c>
      <c r="D62" s="4">
        <v>106.875</v>
      </c>
      <c r="E62" s="4">
        <v>58.342</v>
      </c>
      <c r="F62" s="5">
        <v>14.9</v>
      </c>
      <c r="G62" s="5">
        <v>7.6</v>
      </c>
      <c r="H62" s="4">
        <f t="shared" si="1"/>
        <v>8.598014503</v>
      </c>
      <c r="I62" s="4">
        <f t="shared" si="2"/>
        <v>8.03378698</v>
      </c>
      <c r="J62" s="4">
        <f t="shared" si="3"/>
        <v>8.315900742</v>
      </c>
      <c r="K62" s="4">
        <f t="shared" si="4"/>
        <v>1.831870693</v>
      </c>
      <c r="L62" s="4">
        <f t="shared" si="5"/>
        <v>1.960526316</v>
      </c>
      <c r="M62" s="4">
        <f t="shared" si="6"/>
        <v>-0.06562300197</v>
      </c>
      <c r="N62" s="3" t="s">
        <v>19</v>
      </c>
    </row>
    <row r="63" ht="15.75" customHeight="1">
      <c r="A63" s="3" t="s">
        <v>18</v>
      </c>
      <c r="B63" s="3">
        <v>1.36027441E8</v>
      </c>
      <c r="C63" s="4">
        <v>78.927</v>
      </c>
      <c r="D63" s="4">
        <v>150.719</v>
      </c>
      <c r="E63" s="4">
        <v>77.506</v>
      </c>
      <c r="F63" s="5">
        <v>14.9</v>
      </c>
      <c r="G63" s="5">
        <v>7.6</v>
      </c>
      <c r="H63" s="4">
        <f t="shared" si="1"/>
        <v>7.802681148</v>
      </c>
      <c r="I63" s="4">
        <f t="shared" si="2"/>
        <v>7.73933889</v>
      </c>
      <c r="J63" s="4">
        <f t="shared" si="3"/>
        <v>7.771010019</v>
      </c>
      <c r="K63" s="4">
        <f t="shared" si="4"/>
        <v>1.94461074</v>
      </c>
      <c r="L63" s="4">
        <f t="shared" si="5"/>
        <v>1.960526316</v>
      </c>
      <c r="M63" s="4">
        <f t="shared" si="6"/>
        <v>-0.008118011907</v>
      </c>
      <c r="N63" s="3" t="s">
        <v>19</v>
      </c>
    </row>
    <row r="64" ht="15.75" customHeight="1">
      <c r="A64" s="2" t="s">
        <v>20</v>
      </c>
      <c r="B64" s="3">
        <v>6.47349449E8</v>
      </c>
      <c r="C64" s="4">
        <v>23.592</v>
      </c>
      <c r="D64" s="4">
        <v>101.85</v>
      </c>
      <c r="E64" s="4">
        <v>41.617</v>
      </c>
      <c r="F64" s="5">
        <v>21.0</v>
      </c>
      <c r="G64" s="5">
        <v>7.6</v>
      </c>
      <c r="H64" s="4">
        <f t="shared" si="1"/>
        <v>4.864329897</v>
      </c>
      <c r="I64" s="4">
        <f t="shared" si="2"/>
        <v>4.308316313</v>
      </c>
      <c r="J64" s="4">
        <f t="shared" si="3"/>
        <v>4.586323105</v>
      </c>
      <c r="K64" s="4">
        <f t="shared" si="4"/>
        <v>2.447317202</v>
      </c>
      <c r="L64" s="4">
        <f t="shared" si="5"/>
        <v>2.763157895</v>
      </c>
      <c r="M64" s="4">
        <f t="shared" si="6"/>
        <v>-0.1143042507</v>
      </c>
      <c r="N64" s="3" t="s">
        <v>21</v>
      </c>
    </row>
    <row r="65" ht="15.75" customHeight="1">
      <c r="A65" s="3" t="s">
        <v>20</v>
      </c>
      <c r="B65" s="3">
        <v>6.47517659E8</v>
      </c>
      <c r="C65" s="4">
        <v>20.112</v>
      </c>
      <c r="D65" s="4">
        <v>105.109</v>
      </c>
      <c r="E65" s="4">
        <v>40.807</v>
      </c>
      <c r="F65" s="5">
        <v>21.0</v>
      </c>
      <c r="G65" s="5">
        <v>7.6</v>
      </c>
      <c r="H65" s="4">
        <f t="shared" si="1"/>
        <v>4.018228696</v>
      </c>
      <c r="I65" s="4">
        <f t="shared" si="2"/>
        <v>3.745710295</v>
      </c>
      <c r="J65" s="4">
        <f t="shared" si="3"/>
        <v>3.881969495</v>
      </c>
      <c r="K65" s="4">
        <f t="shared" si="4"/>
        <v>2.575759061</v>
      </c>
      <c r="L65" s="4">
        <f t="shared" si="5"/>
        <v>2.763157895</v>
      </c>
      <c r="M65" s="4">
        <f t="shared" si="6"/>
        <v>-0.06782053032</v>
      </c>
      <c r="N65" s="3" t="s">
        <v>21</v>
      </c>
    </row>
    <row r="66" ht="15.75" customHeight="1">
      <c r="A66" s="2" t="s">
        <v>20</v>
      </c>
      <c r="B66" s="3">
        <v>6.47606746E8</v>
      </c>
      <c r="C66" s="4">
        <v>18.069</v>
      </c>
      <c r="D66" s="4">
        <v>79.77</v>
      </c>
      <c r="E66" s="4">
        <v>33.362</v>
      </c>
      <c r="F66" s="5">
        <v>21.0</v>
      </c>
      <c r="G66" s="5">
        <v>7.6</v>
      </c>
      <c r="H66" s="4">
        <f t="shared" si="1"/>
        <v>4.756788266</v>
      </c>
      <c r="I66" s="4">
        <f t="shared" si="2"/>
        <v>4.116192075</v>
      </c>
      <c r="J66" s="4">
        <f t="shared" si="3"/>
        <v>4.436490171</v>
      </c>
      <c r="K66" s="4">
        <f t="shared" si="4"/>
        <v>2.391043702</v>
      </c>
      <c r="L66" s="4">
        <f t="shared" si="5"/>
        <v>2.763157895</v>
      </c>
      <c r="M66" s="4">
        <f t="shared" si="6"/>
        <v>-0.1346698982</v>
      </c>
      <c r="N66" s="3" t="s">
        <v>21</v>
      </c>
    </row>
    <row r="67" ht="15.75" customHeight="1">
      <c r="A67" s="6" t="s">
        <v>20</v>
      </c>
      <c r="B67" s="3">
        <v>6.47629121E8</v>
      </c>
      <c r="C67" s="4">
        <v>29.341</v>
      </c>
      <c r="D67" s="4">
        <v>120.603</v>
      </c>
      <c r="E67" s="4">
        <v>32.39</v>
      </c>
      <c r="F67" s="5">
        <v>21.0</v>
      </c>
      <c r="G67" s="5">
        <v>7.6</v>
      </c>
      <c r="H67" s="4">
        <f t="shared" si="1"/>
        <v>5.109002264</v>
      </c>
      <c r="I67" s="4">
        <f t="shared" si="2"/>
        <v>6.884581661</v>
      </c>
      <c r="J67" s="4">
        <f t="shared" si="3"/>
        <v>5.996791962</v>
      </c>
      <c r="K67" s="4">
        <f t="shared" si="4"/>
        <v>3.723464032</v>
      </c>
      <c r="L67" s="4">
        <f t="shared" si="5"/>
        <v>2.763157895</v>
      </c>
      <c r="M67" s="4">
        <f t="shared" si="6"/>
        <v>0.347539364</v>
      </c>
      <c r="N67" s="3" t="s">
        <v>21</v>
      </c>
    </row>
    <row r="68" ht="15.75" customHeight="1">
      <c r="A68" s="3" t="s">
        <v>20</v>
      </c>
      <c r="B68" s="3">
        <v>6.4772699E8</v>
      </c>
      <c r="C68" s="4">
        <v>21.095</v>
      </c>
      <c r="D68" s="4">
        <v>100.672</v>
      </c>
      <c r="E68" s="4">
        <v>40.234</v>
      </c>
      <c r="F68" s="5">
        <v>21.0</v>
      </c>
      <c r="G68" s="5">
        <v>7.6</v>
      </c>
      <c r="H68" s="4">
        <f t="shared" si="1"/>
        <v>4.40037945</v>
      </c>
      <c r="I68" s="4">
        <f t="shared" si="2"/>
        <v>3.984739275</v>
      </c>
      <c r="J68" s="4">
        <f t="shared" si="3"/>
        <v>4.192559363</v>
      </c>
      <c r="K68" s="4">
        <f t="shared" si="4"/>
        <v>2.50216235</v>
      </c>
      <c r="L68" s="4">
        <f t="shared" si="5"/>
        <v>2.763157895</v>
      </c>
      <c r="M68" s="4">
        <f t="shared" si="6"/>
        <v>-0.09445553039</v>
      </c>
      <c r="N68" s="3" t="s">
        <v>21</v>
      </c>
    </row>
    <row r="69" ht="15.75" customHeight="1">
      <c r="A69" s="3" t="s">
        <v>20</v>
      </c>
      <c r="B69" s="3">
        <v>6.4774108E8</v>
      </c>
      <c r="C69" s="4">
        <v>25.739</v>
      </c>
      <c r="D69" s="4">
        <v>104.944</v>
      </c>
      <c r="E69" s="4">
        <v>39.051</v>
      </c>
      <c r="F69" s="5">
        <v>21.0</v>
      </c>
      <c r="G69" s="5">
        <v>7.6</v>
      </c>
      <c r="H69" s="4">
        <f t="shared" si="1"/>
        <v>5.150546958</v>
      </c>
      <c r="I69" s="4">
        <f t="shared" si="2"/>
        <v>5.009254565</v>
      </c>
      <c r="J69" s="4">
        <f t="shared" si="3"/>
        <v>5.079900761</v>
      </c>
      <c r="K69" s="4">
        <f t="shared" si="4"/>
        <v>2.687357558</v>
      </c>
      <c r="L69" s="4">
        <f t="shared" si="5"/>
        <v>2.763157895</v>
      </c>
      <c r="M69" s="4">
        <f t="shared" si="6"/>
        <v>-0.0274325028</v>
      </c>
      <c r="N69" s="3" t="s">
        <v>21</v>
      </c>
    </row>
    <row r="70" ht="15.75" customHeight="1">
      <c r="A70" s="6" t="s">
        <v>20</v>
      </c>
      <c r="B70" s="3">
        <v>6.47876012E8</v>
      </c>
      <c r="C70" s="4">
        <v>19.508</v>
      </c>
      <c r="D70" s="4">
        <v>128.007</v>
      </c>
      <c r="E70" s="4">
        <v>58.054</v>
      </c>
      <c r="F70" s="5">
        <v>21.0</v>
      </c>
      <c r="G70" s="5">
        <v>7.6</v>
      </c>
      <c r="H70" s="4">
        <f t="shared" si="1"/>
        <v>3.200356231</v>
      </c>
      <c r="I70" s="4">
        <f t="shared" si="2"/>
        <v>2.553842974</v>
      </c>
      <c r="J70" s="4">
        <f t="shared" si="3"/>
        <v>2.877099602</v>
      </c>
      <c r="K70" s="4">
        <f t="shared" si="4"/>
        <v>2.204964344</v>
      </c>
      <c r="L70" s="4">
        <f t="shared" si="5"/>
        <v>2.763157895</v>
      </c>
      <c r="M70" s="4">
        <f t="shared" si="6"/>
        <v>-0.2020129042</v>
      </c>
      <c r="N70" s="3" t="s">
        <v>21</v>
      </c>
    </row>
    <row r="71" ht="15.75" customHeight="1">
      <c r="A71" s="3" t="s">
        <v>20</v>
      </c>
      <c r="B71" s="3">
        <v>6.48036889E8</v>
      </c>
      <c r="C71" s="4">
        <v>26.002</v>
      </c>
      <c r="D71" s="4">
        <v>158.761</v>
      </c>
      <c r="E71" s="4">
        <v>63.232</v>
      </c>
      <c r="F71" s="5">
        <v>21.0</v>
      </c>
      <c r="G71" s="5">
        <v>7.6</v>
      </c>
      <c r="H71" s="4">
        <f t="shared" si="1"/>
        <v>3.439396325</v>
      </c>
      <c r="I71" s="4">
        <f t="shared" si="2"/>
        <v>3.125240385</v>
      </c>
      <c r="J71" s="4">
        <f t="shared" si="3"/>
        <v>3.282318355</v>
      </c>
      <c r="K71" s="4">
        <f t="shared" si="4"/>
        <v>2.510769863</v>
      </c>
      <c r="L71" s="4">
        <f t="shared" si="5"/>
        <v>2.763157895</v>
      </c>
      <c r="M71" s="4">
        <f t="shared" si="6"/>
        <v>-0.0913404304</v>
      </c>
      <c r="N71" s="3" t="s">
        <v>21</v>
      </c>
    </row>
    <row r="72" ht="15.75" customHeight="1">
      <c r="A72" s="3" t="s">
        <v>20</v>
      </c>
      <c r="B72" s="3">
        <v>6.48129616E8</v>
      </c>
      <c r="C72" s="4">
        <v>19.003</v>
      </c>
      <c r="D72" s="4">
        <v>96.5</v>
      </c>
      <c r="E72" s="4">
        <v>36.667</v>
      </c>
      <c r="F72" s="5">
        <v>21.0</v>
      </c>
      <c r="G72" s="5">
        <v>7.6</v>
      </c>
      <c r="H72" s="4">
        <f t="shared" si="1"/>
        <v>4.135367876</v>
      </c>
      <c r="I72" s="4">
        <f t="shared" si="2"/>
        <v>3.938767829</v>
      </c>
      <c r="J72" s="4">
        <f t="shared" si="3"/>
        <v>4.037067853</v>
      </c>
      <c r="K72" s="4">
        <f t="shared" si="4"/>
        <v>2.631794256</v>
      </c>
      <c r="L72" s="4">
        <f t="shared" si="5"/>
        <v>2.763157895</v>
      </c>
      <c r="M72" s="4">
        <f t="shared" si="6"/>
        <v>-0.04754112625</v>
      </c>
      <c r="N72" s="3" t="s">
        <v>21</v>
      </c>
    </row>
    <row r="73" ht="15.75" customHeight="1">
      <c r="A73" s="3" t="s">
        <v>20</v>
      </c>
      <c r="B73" s="3">
        <v>6.48286824E8</v>
      </c>
      <c r="C73" s="4">
        <v>24.839</v>
      </c>
      <c r="D73" s="4">
        <v>131.264</v>
      </c>
      <c r="E73" s="4">
        <v>49.543</v>
      </c>
      <c r="F73" s="5">
        <v>21.0</v>
      </c>
      <c r="G73" s="5">
        <v>7.6</v>
      </c>
      <c r="H73" s="4">
        <f t="shared" si="1"/>
        <v>3.973816126</v>
      </c>
      <c r="I73" s="4">
        <f t="shared" si="2"/>
        <v>3.810354641</v>
      </c>
      <c r="J73" s="4">
        <f t="shared" si="3"/>
        <v>3.892085384</v>
      </c>
      <c r="K73" s="4">
        <f t="shared" si="4"/>
        <v>2.649496397</v>
      </c>
      <c r="L73" s="4">
        <f t="shared" si="5"/>
        <v>2.763157895</v>
      </c>
      <c r="M73" s="4">
        <f t="shared" si="6"/>
        <v>-0.04113463725</v>
      </c>
      <c r="N73" s="3" t="s">
        <v>21</v>
      </c>
    </row>
    <row r="74" ht="15.75" customHeight="1">
      <c r="A74" s="3" t="s">
        <v>20</v>
      </c>
      <c r="B74" s="3">
        <v>6.48304919E8</v>
      </c>
      <c r="C74" s="4">
        <v>18.187</v>
      </c>
      <c r="D74" s="4">
        <v>111.916</v>
      </c>
      <c r="E74" s="4">
        <v>42.781</v>
      </c>
      <c r="F74" s="5">
        <v>21.0</v>
      </c>
      <c r="G74" s="5">
        <v>7.6</v>
      </c>
      <c r="H74" s="4">
        <f t="shared" si="1"/>
        <v>3.412621966</v>
      </c>
      <c r="I74" s="4">
        <f t="shared" si="2"/>
        <v>3.230901568</v>
      </c>
      <c r="J74" s="4">
        <f t="shared" si="3"/>
        <v>3.321761767</v>
      </c>
      <c r="K74" s="4">
        <f t="shared" si="4"/>
        <v>2.616021131</v>
      </c>
      <c r="L74" s="4">
        <f t="shared" si="5"/>
        <v>2.763157895</v>
      </c>
      <c r="M74" s="4">
        <f t="shared" si="6"/>
        <v>-0.05324949549</v>
      </c>
      <c r="N74" s="3" t="s">
        <v>21</v>
      </c>
    </row>
    <row r="75" ht="15.75" customHeight="1">
      <c r="A75" s="2" t="s">
        <v>20</v>
      </c>
      <c r="B75" s="3">
        <v>4.21079981E8</v>
      </c>
      <c r="C75" s="4">
        <v>26.108</v>
      </c>
      <c r="D75" s="4">
        <v>127.783</v>
      </c>
      <c r="E75" s="4">
        <v>40.362</v>
      </c>
      <c r="F75" s="5">
        <v>21.0</v>
      </c>
      <c r="G75" s="5">
        <v>7.6</v>
      </c>
      <c r="H75" s="4">
        <f t="shared" si="1"/>
        <v>4.290617688</v>
      </c>
      <c r="I75" s="4">
        <f t="shared" si="2"/>
        <v>4.916029929</v>
      </c>
      <c r="J75" s="4">
        <f t="shared" si="3"/>
        <v>4.603323808</v>
      </c>
      <c r="K75" s="4">
        <f t="shared" si="4"/>
        <v>3.165923393</v>
      </c>
      <c r="L75" s="4">
        <f t="shared" si="5"/>
        <v>2.763157895</v>
      </c>
      <c r="M75" s="4">
        <f t="shared" si="6"/>
        <v>0.1457627519</v>
      </c>
      <c r="N75" s="3" t="s">
        <v>21</v>
      </c>
    </row>
    <row r="76" ht="15.75" customHeight="1">
      <c r="A76" s="2" t="s">
        <v>20</v>
      </c>
      <c r="B76" s="3">
        <v>2.67248611E8</v>
      </c>
      <c r="C76" s="4">
        <v>21.842</v>
      </c>
      <c r="D76" s="4">
        <v>94.279</v>
      </c>
      <c r="E76" s="4">
        <v>30.663</v>
      </c>
      <c r="F76" s="5">
        <v>21.0</v>
      </c>
      <c r="G76" s="5">
        <v>7.6</v>
      </c>
      <c r="H76" s="4">
        <f t="shared" si="1"/>
        <v>4.865155549</v>
      </c>
      <c r="I76" s="4">
        <f t="shared" si="2"/>
        <v>5.413664677</v>
      </c>
      <c r="J76" s="4">
        <f t="shared" si="3"/>
        <v>5.139410113</v>
      </c>
      <c r="K76" s="4">
        <f t="shared" si="4"/>
        <v>3.074682843</v>
      </c>
      <c r="L76" s="4">
        <f t="shared" si="5"/>
        <v>2.763157895</v>
      </c>
      <c r="M76" s="4">
        <f t="shared" si="6"/>
        <v>0.1127423621</v>
      </c>
      <c r="N76" s="3" t="s">
        <v>21</v>
      </c>
    </row>
    <row r="77" ht="15.75" customHeight="1">
      <c r="A77" s="2" t="s">
        <v>20</v>
      </c>
      <c r="B77" s="3">
        <v>6.38133262E8</v>
      </c>
      <c r="C77" s="4">
        <v>28.074</v>
      </c>
      <c r="D77" s="4">
        <v>134.737</v>
      </c>
      <c r="E77" s="4">
        <v>56.08</v>
      </c>
      <c r="F77" s="5">
        <v>21.0</v>
      </c>
      <c r="G77" s="5">
        <v>7.6</v>
      </c>
      <c r="H77" s="4">
        <f t="shared" si="1"/>
        <v>4.375590966</v>
      </c>
      <c r="I77" s="4">
        <f t="shared" si="2"/>
        <v>3.804607703</v>
      </c>
      <c r="J77" s="4">
        <f t="shared" si="3"/>
        <v>4.090099335</v>
      </c>
      <c r="K77" s="4">
        <f t="shared" si="4"/>
        <v>2.402585592</v>
      </c>
      <c r="L77" s="4">
        <f t="shared" si="5"/>
        <v>2.763157895</v>
      </c>
      <c r="M77" s="4">
        <f t="shared" si="6"/>
        <v>-0.1304928334</v>
      </c>
      <c r="N77" s="3" t="s">
        <v>21</v>
      </c>
    </row>
    <row r="78" ht="15.75" customHeight="1">
      <c r="A78" s="2" t="s">
        <v>20</v>
      </c>
      <c r="B78" s="3">
        <v>1.62757801E8</v>
      </c>
      <c r="C78" s="4">
        <v>37.043</v>
      </c>
      <c r="D78" s="4">
        <v>127.077</v>
      </c>
      <c r="E78" s="4">
        <v>53.127</v>
      </c>
      <c r="F78" s="5">
        <v>21.0</v>
      </c>
      <c r="G78" s="5">
        <v>7.6</v>
      </c>
      <c r="H78" s="4">
        <f t="shared" si="1"/>
        <v>6.121509006</v>
      </c>
      <c r="I78" s="4">
        <f t="shared" si="2"/>
        <v>5.299128503</v>
      </c>
      <c r="J78" s="4">
        <f t="shared" si="3"/>
        <v>5.710318755</v>
      </c>
      <c r="K78" s="4">
        <f t="shared" si="4"/>
        <v>2.391947597</v>
      </c>
      <c r="L78" s="4">
        <f t="shared" si="5"/>
        <v>2.763157895</v>
      </c>
      <c r="M78" s="4">
        <f t="shared" si="6"/>
        <v>-0.1343427743</v>
      </c>
      <c r="N78" s="3" t="s">
        <v>21</v>
      </c>
    </row>
    <row r="79" ht="15.75" customHeight="1">
      <c r="A79" s="3" t="s">
        <v>20</v>
      </c>
      <c r="B79" s="10">
        <v>6.32531951E8</v>
      </c>
      <c r="C79" s="9">
        <v>23.6</v>
      </c>
      <c r="D79" s="9">
        <v>89.669</v>
      </c>
      <c r="E79" s="9">
        <v>34.413</v>
      </c>
      <c r="F79" s="5">
        <v>21.0</v>
      </c>
      <c r="G79" s="5">
        <v>7.6</v>
      </c>
      <c r="H79" s="4">
        <f t="shared" si="1"/>
        <v>5.526993721</v>
      </c>
      <c r="I79" s="4">
        <f t="shared" si="2"/>
        <v>5.211983843</v>
      </c>
      <c r="J79" s="4">
        <f t="shared" si="3"/>
        <v>5.369488782</v>
      </c>
      <c r="K79" s="4">
        <f t="shared" si="4"/>
        <v>2.605672275</v>
      </c>
      <c r="L79" s="4">
        <f t="shared" si="5"/>
        <v>2.763157895</v>
      </c>
      <c r="M79" s="4">
        <f t="shared" si="6"/>
        <v>-0.05699479571</v>
      </c>
      <c r="N79" s="3" t="s">
        <v>21</v>
      </c>
    </row>
    <row r="80" ht="15.75" customHeight="1">
      <c r="A80" s="3" t="s">
        <v>20</v>
      </c>
      <c r="B80" s="10">
        <v>6.13496495E8</v>
      </c>
      <c r="C80" s="9">
        <v>32.007</v>
      </c>
      <c r="D80" s="9">
        <v>128.082</v>
      </c>
      <c r="E80" s="9">
        <v>44.635</v>
      </c>
      <c r="F80" s="5">
        <v>21.0</v>
      </c>
      <c r="G80" s="5">
        <v>7.6</v>
      </c>
      <c r="H80" s="4">
        <f t="shared" si="1"/>
        <v>5.247786574</v>
      </c>
      <c r="I80" s="4">
        <f t="shared" si="2"/>
        <v>5.44983085</v>
      </c>
      <c r="J80" s="4">
        <f t="shared" si="3"/>
        <v>5.348808712</v>
      </c>
      <c r="K80" s="4">
        <f t="shared" si="4"/>
        <v>2.869541839</v>
      </c>
      <c r="L80" s="4">
        <f t="shared" si="5"/>
        <v>2.763157895</v>
      </c>
      <c r="M80" s="4">
        <f t="shared" si="6"/>
        <v>0.03850085615</v>
      </c>
      <c r="N80" s="3" t="s">
        <v>21</v>
      </c>
    </row>
    <row r="81" ht="15.75" customHeight="1">
      <c r="A81" s="3" t="s">
        <v>20</v>
      </c>
      <c r="B81" s="10">
        <v>4.75002201E8</v>
      </c>
      <c r="C81" s="9">
        <v>31.563</v>
      </c>
      <c r="D81" s="9">
        <v>129.636</v>
      </c>
      <c r="E81" s="9">
        <v>43.433</v>
      </c>
      <c r="F81" s="5">
        <v>21.0</v>
      </c>
      <c r="G81" s="5">
        <v>7.6</v>
      </c>
      <c r="H81" s="4">
        <f t="shared" si="1"/>
        <v>5.112954735</v>
      </c>
      <c r="I81" s="4">
        <f t="shared" si="2"/>
        <v>5.522961803</v>
      </c>
      <c r="J81" s="4">
        <f t="shared" si="3"/>
        <v>5.317958269</v>
      </c>
      <c r="K81" s="4">
        <f t="shared" si="4"/>
        <v>2.984735109</v>
      </c>
      <c r="L81" s="4">
        <f t="shared" si="5"/>
        <v>2.763157895</v>
      </c>
      <c r="M81" s="4">
        <f t="shared" si="6"/>
        <v>0.08018984906</v>
      </c>
      <c r="N81" s="3" t="s">
        <v>21</v>
      </c>
    </row>
    <row r="82" ht="15.75" customHeight="1">
      <c r="A82" s="3" t="s">
        <v>22</v>
      </c>
      <c r="B82" s="3">
        <v>3.25828981E8</v>
      </c>
      <c r="C82" s="4">
        <v>43.82</v>
      </c>
      <c r="D82" s="4">
        <v>80.797</v>
      </c>
      <c r="E82" s="4">
        <v>43.417</v>
      </c>
      <c r="F82" s="5">
        <v>7.8</v>
      </c>
      <c r="G82" s="5">
        <v>4.0</v>
      </c>
      <c r="H82" s="4">
        <f t="shared" si="1"/>
        <v>4.230305581</v>
      </c>
      <c r="I82" s="4">
        <f t="shared" si="2"/>
        <v>4.037128314</v>
      </c>
      <c r="J82" s="4">
        <f t="shared" si="3"/>
        <v>4.133716947</v>
      </c>
      <c r="K82" s="4">
        <f t="shared" si="4"/>
        <v>1.860953083</v>
      </c>
      <c r="L82" s="4">
        <f t="shared" si="5"/>
        <v>1.95</v>
      </c>
      <c r="M82" s="4">
        <f t="shared" si="6"/>
        <v>-0.0456650857</v>
      </c>
      <c r="N82" s="3" t="s">
        <v>23</v>
      </c>
    </row>
    <row r="83" ht="15.75" customHeight="1">
      <c r="A83" s="3" t="s">
        <v>22</v>
      </c>
      <c r="B83" s="3">
        <v>1.08135201E8</v>
      </c>
      <c r="C83" s="4">
        <v>48.686</v>
      </c>
      <c r="D83" s="4">
        <v>102.706</v>
      </c>
      <c r="E83" s="4">
        <v>49.5</v>
      </c>
      <c r="F83" s="5">
        <v>7.8</v>
      </c>
      <c r="G83" s="5">
        <v>4.0</v>
      </c>
      <c r="H83" s="4">
        <f t="shared" si="1"/>
        <v>3.697454871</v>
      </c>
      <c r="I83" s="4">
        <f t="shared" si="2"/>
        <v>3.934222222</v>
      </c>
      <c r="J83" s="4">
        <f t="shared" si="3"/>
        <v>3.815838547</v>
      </c>
      <c r="K83" s="4">
        <f t="shared" si="4"/>
        <v>2.074868687</v>
      </c>
      <c r="L83" s="4">
        <f t="shared" si="5"/>
        <v>1.95</v>
      </c>
      <c r="M83" s="4">
        <f t="shared" si="6"/>
        <v>0.06403522404</v>
      </c>
      <c r="N83" s="3" t="s">
        <v>23</v>
      </c>
    </row>
    <row r="84" ht="15.75" customHeight="1">
      <c r="A84" s="11" t="s">
        <v>22</v>
      </c>
      <c r="B84" s="3">
        <v>3.11572401E8</v>
      </c>
      <c r="C84" s="4">
        <v>49.641</v>
      </c>
      <c r="D84" s="4">
        <v>98.593</v>
      </c>
      <c r="E84" s="4">
        <v>56.206</v>
      </c>
      <c r="F84" s="5">
        <v>7.8</v>
      </c>
      <c r="G84" s="5">
        <v>4.0</v>
      </c>
      <c r="H84" s="4">
        <f t="shared" si="1"/>
        <v>3.92725447</v>
      </c>
      <c r="I84" s="4">
        <f t="shared" si="2"/>
        <v>3.532790094</v>
      </c>
      <c r="J84" s="4">
        <f t="shared" si="3"/>
        <v>3.730022282</v>
      </c>
      <c r="K84" s="4">
        <f t="shared" si="4"/>
        <v>1.754136569</v>
      </c>
      <c r="L84" s="4">
        <f t="shared" si="5"/>
        <v>1.95</v>
      </c>
      <c r="M84" s="4">
        <f t="shared" si="6"/>
        <v>-0.1004427851</v>
      </c>
      <c r="N84" s="3" t="s">
        <v>23</v>
      </c>
    </row>
    <row r="85" ht="15.75" customHeight="1">
      <c r="A85" s="2" t="s">
        <v>22</v>
      </c>
      <c r="B85" s="3">
        <v>2.29583411E8</v>
      </c>
      <c r="C85" s="4">
        <v>35.668</v>
      </c>
      <c r="D85" s="4">
        <v>72.407</v>
      </c>
      <c r="E85" s="4">
        <v>43.338</v>
      </c>
      <c r="F85" s="5">
        <v>7.8</v>
      </c>
      <c r="G85" s="5">
        <v>4.0</v>
      </c>
      <c r="H85" s="4">
        <f t="shared" si="1"/>
        <v>3.842313588</v>
      </c>
      <c r="I85" s="4">
        <f t="shared" si="2"/>
        <v>3.292076238</v>
      </c>
      <c r="J85" s="4">
        <f t="shared" si="3"/>
        <v>3.567194913</v>
      </c>
      <c r="K85" s="4">
        <f t="shared" si="4"/>
        <v>1.670750842</v>
      </c>
      <c r="L85" s="4">
        <f t="shared" si="5"/>
        <v>1.95</v>
      </c>
      <c r="M85" s="4">
        <f t="shared" si="6"/>
        <v>-0.1432046963</v>
      </c>
      <c r="N85" s="3" t="s">
        <v>23</v>
      </c>
    </row>
    <row r="86" ht="15.75" customHeight="1">
      <c r="A86" s="3" t="s">
        <v>22</v>
      </c>
      <c r="B86" s="3">
        <v>1.89105921E8</v>
      </c>
      <c r="C86" s="4">
        <v>29.759</v>
      </c>
      <c r="D86" s="4">
        <v>55.365</v>
      </c>
      <c r="E86" s="4">
        <v>30.501</v>
      </c>
      <c r="F86" s="5">
        <v>7.8</v>
      </c>
      <c r="G86" s="5">
        <v>4.0</v>
      </c>
      <c r="H86" s="4">
        <f t="shared" si="1"/>
        <v>4.192544026</v>
      </c>
      <c r="I86" s="4">
        <f t="shared" si="2"/>
        <v>3.902691715</v>
      </c>
      <c r="J86" s="4">
        <f t="shared" si="3"/>
        <v>4.047617871</v>
      </c>
      <c r="K86" s="4">
        <f t="shared" si="4"/>
        <v>1.815186387</v>
      </c>
      <c r="L86" s="4">
        <f t="shared" si="5"/>
        <v>1.95</v>
      </c>
      <c r="M86" s="4">
        <f t="shared" si="6"/>
        <v>-0.06913518598</v>
      </c>
      <c r="N86" s="3" t="s">
        <v>23</v>
      </c>
    </row>
    <row r="87" ht="15.75" customHeight="1">
      <c r="A87" s="3" t="s">
        <v>22</v>
      </c>
      <c r="B87" s="3">
        <v>6.44365547E8</v>
      </c>
      <c r="C87" s="4">
        <v>56.55</v>
      </c>
      <c r="D87" s="4">
        <v>104.715</v>
      </c>
      <c r="E87" s="4">
        <v>57.268</v>
      </c>
      <c r="F87" s="5">
        <v>7.8</v>
      </c>
      <c r="G87" s="5">
        <v>4.0</v>
      </c>
      <c r="H87" s="4">
        <f t="shared" si="1"/>
        <v>4.212290503</v>
      </c>
      <c r="I87" s="4">
        <f t="shared" si="2"/>
        <v>3.949849829</v>
      </c>
      <c r="J87" s="4">
        <f t="shared" si="3"/>
        <v>4.081070166</v>
      </c>
      <c r="K87" s="4">
        <f t="shared" si="4"/>
        <v>1.828508067</v>
      </c>
      <c r="L87" s="4">
        <f t="shared" si="5"/>
        <v>1.95</v>
      </c>
      <c r="M87" s="4">
        <f t="shared" si="6"/>
        <v>-0.06230355521</v>
      </c>
      <c r="N87" s="3" t="s">
        <v>23</v>
      </c>
    </row>
    <row r="88" ht="15.75" customHeight="1">
      <c r="A88" s="6" t="s">
        <v>22</v>
      </c>
      <c r="B88" s="3">
        <v>6.31680158E8</v>
      </c>
      <c r="C88" s="4">
        <v>56.025</v>
      </c>
      <c r="D88" s="4">
        <v>103.462</v>
      </c>
      <c r="E88" s="4">
        <v>64.479</v>
      </c>
      <c r="F88" s="5">
        <v>7.8</v>
      </c>
      <c r="G88" s="5">
        <v>4.0</v>
      </c>
      <c r="H88" s="4">
        <f t="shared" si="1"/>
        <v>4.223724653</v>
      </c>
      <c r="I88" s="4">
        <f t="shared" si="2"/>
        <v>3.475550179</v>
      </c>
      <c r="J88" s="4">
        <f t="shared" si="3"/>
        <v>3.849637416</v>
      </c>
      <c r="K88" s="4">
        <f t="shared" si="4"/>
        <v>1.604584438</v>
      </c>
      <c r="L88" s="4">
        <f t="shared" si="5"/>
        <v>1.95</v>
      </c>
      <c r="M88" s="4">
        <f t="shared" si="6"/>
        <v>-0.1771361855</v>
      </c>
      <c r="N88" s="3" t="s">
        <v>23</v>
      </c>
    </row>
    <row r="89" ht="15.75" customHeight="1">
      <c r="A89" s="3" t="s">
        <v>22</v>
      </c>
      <c r="B89" s="3">
        <v>6.2841871E8</v>
      </c>
      <c r="C89" s="4">
        <v>61.561</v>
      </c>
      <c r="D89" s="4">
        <v>108.042</v>
      </c>
      <c r="E89" s="4">
        <v>57.016</v>
      </c>
      <c r="F89" s="5">
        <v>7.8</v>
      </c>
      <c r="G89" s="5">
        <v>4.0</v>
      </c>
      <c r="H89" s="4">
        <f t="shared" si="1"/>
        <v>4.444343866</v>
      </c>
      <c r="I89" s="4">
        <f t="shared" si="2"/>
        <v>4.318857864</v>
      </c>
      <c r="J89" s="4">
        <f t="shared" si="3"/>
        <v>4.381600865</v>
      </c>
      <c r="K89" s="4">
        <f t="shared" si="4"/>
        <v>1.894941771</v>
      </c>
      <c r="L89" s="4">
        <f t="shared" si="5"/>
        <v>1.95</v>
      </c>
      <c r="M89" s="4">
        <f t="shared" si="6"/>
        <v>-0.02823498937</v>
      </c>
      <c r="N89" s="3" t="s">
        <v>23</v>
      </c>
    </row>
    <row r="90" ht="15.75" customHeight="1">
      <c r="A90" s="3" t="s">
        <v>22</v>
      </c>
      <c r="B90" s="3">
        <v>6.12284712E8</v>
      </c>
      <c r="C90" s="4">
        <v>45.775</v>
      </c>
      <c r="D90" s="4">
        <v>85.803</v>
      </c>
      <c r="E90" s="4">
        <v>41.123</v>
      </c>
      <c r="F90" s="5">
        <v>7.8</v>
      </c>
      <c r="G90" s="5">
        <v>4.0</v>
      </c>
      <c r="H90" s="4">
        <f t="shared" si="1"/>
        <v>4.161218139</v>
      </c>
      <c r="I90" s="4">
        <f t="shared" si="2"/>
        <v>4.45249617</v>
      </c>
      <c r="J90" s="4">
        <f t="shared" si="3"/>
        <v>4.306857155</v>
      </c>
      <c r="K90" s="4">
        <f t="shared" si="4"/>
        <v>2.086496608</v>
      </c>
      <c r="L90" s="4">
        <f t="shared" si="5"/>
        <v>1.95</v>
      </c>
      <c r="M90" s="4">
        <f t="shared" si="6"/>
        <v>0.06999826038</v>
      </c>
      <c r="N90" s="3" t="s">
        <v>23</v>
      </c>
    </row>
    <row r="91" ht="15.75" customHeight="1">
      <c r="A91" s="3" t="s">
        <v>22</v>
      </c>
      <c r="B91" s="3">
        <v>6.11196223E8</v>
      </c>
      <c r="C91" s="4">
        <v>43.018</v>
      </c>
      <c r="D91" s="4">
        <v>81.749</v>
      </c>
      <c r="E91" s="4">
        <v>44.682</v>
      </c>
      <c r="F91" s="5">
        <v>7.8</v>
      </c>
      <c r="G91" s="5">
        <v>4.0</v>
      </c>
      <c r="H91" s="4">
        <f t="shared" si="1"/>
        <v>4.104519933</v>
      </c>
      <c r="I91" s="4">
        <f t="shared" si="2"/>
        <v>3.851036211</v>
      </c>
      <c r="J91" s="4">
        <f t="shared" si="3"/>
        <v>3.977778072</v>
      </c>
      <c r="K91" s="4">
        <f t="shared" si="4"/>
        <v>1.82957343</v>
      </c>
      <c r="L91" s="4">
        <f t="shared" si="5"/>
        <v>1.95</v>
      </c>
      <c r="M91" s="4">
        <f t="shared" si="6"/>
        <v>-0.06175721538</v>
      </c>
      <c r="N91" s="3" t="s">
        <v>23</v>
      </c>
    </row>
    <row r="92" ht="15.75" customHeight="1">
      <c r="A92" s="3" t="s">
        <v>22</v>
      </c>
      <c r="B92" s="3">
        <v>5.32313681E8</v>
      </c>
      <c r="C92" s="4">
        <v>45.624</v>
      </c>
      <c r="D92" s="4">
        <v>96.998</v>
      </c>
      <c r="E92" s="4">
        <v>50.187</v>
      </c>
      <c r="F92" s="5">
        <v>7.8</v>
      </c>
      <c r="G92" s="5">
        <v>4.0</v>
      </c>
      <c r="H92" s="4">
        <f t="shared" si="1"/>
        <v>3.668809666</v>
      </c>
      <c r="I92" s="4">
        <f t="shared" si="2"/>
        <v>3.636320163</v>
      </c>
      <c r="J92" s="4">
        <f t="shared" si="3"/>
        <v>3.652564914</v>
      </c>
      <c r="K92" s="4">
        <f t="shared" si="4"/>
        <v>1.932731584</v>
      </c>
      <c r="L92" s="4">
        <f t="shared" si="5"/>
        <v>1.95</v>
      </c>
      <c r="M92" s="4">
        <f t="shared" si="6"/>
        <v>-0.008855598012</v>
      </c>
      <c r="N92" s="3" t="s">
        <v>23</v>
      </c>
    </row>
    <row r="93" ht="15.75" customHeight="1">
      <c r="A93" s="2" t="s">
        <v>22</v>
      </c>
      <c r="B93" s="3">
        <v>5.25518641E8</v>
      </c>
      <c r="C93" s="4">
        <v>35.504</v>
      </c>
      <c r="D93" s="4">
        <v>78.044</v>
      </c>
      <c r="E93" s="4">
        <v>47.019</v>
      </c>
      <c r="F93" s="5">
        <v>7.8</v>
      </c>
      <c r="G93" s="5">
        <v>4.0</v>
      </c>
      <c r="H93" s="4">
        <f t="shared" si="1"/>
        <v>3.548398339</v>
      </c>
      <c r="I93" s="4">
        <f t="shared" si="2"/>
        <v>3.02039601</v>
      </c>
      <c r="J93" s="4">
        <f t="shared" si="3"/>
        <v>3.284397175</v>
      </c>
      <c r="K93" s="4">
        <f t="shared" si="4"/>
        <v>1.659839639</v>
      </c>
      <c r="L93" s="4">
        <f t="shared" si="5"/>
        <v>1.95</v>
      </c>
      <c r="M93" s="4">
        <f t="shared" si="6"/>
        <v>-0.148800185</v>
      </c>
      <c r="N93" s="3" t="s">
        <v>23</v>
      </c>
    </row>
    <row r="94" ht="15.75" customHeight="1">
      <c r="A94" s="3" t="s">
        <v>22</v>
      </c>
      <c r="B94" s="3">
        <v>7.8389831E7</v>
      </c>
      <c r="C94" s="4">
        <v>46.209</v>
      </c>
      <c r="D94" s="4">
        <v>83.726</v>
      </c>
      <c r="E94" s="4">
        <v>46.055</v>
      </c>
      <c r="F94" s="5">
        <v>7.8</v>
      </c>
      <c r="G94" s="5">
        <v>4.0</v>
      </c>
      <c r="H94" s="4">
        <f t="shared" si="1"/>
        <v>4.304877816</v>
      </c>
      <c r="I94" s="4">
        <f t="shared" si="2"/>
        <v>4.013375312</v>
      </c>
      <c r="J94" s="4">
        <f t="shared" si="3"/>
        <v>4.159126564</v>
      </c>
      <c r="K94" s="4">
        <f t="shared" si="4"/>
        <v>1.817956791</v>
      </c>
      <c r="L94" s="4">
        <f t="shared" si="5"/>
        <v>1.95</v>
      </c>
      <c r="M94" s="4">
        <f t="shared" si="6"/>
        <v>-0.06771446626</v>
      </c>
      <c r="N94" s="3" t="s">
        <v>23</v>
      </c>
    </row>
    <row r="95" ht="15.75" customHeight="1">
      <c r="A95" s="2" t="s">
        <v>22</v>
      </c>
      <c r="B95" s="3">
        <v>2.06170681E8</v>
      </c>
      <c r="C95" s="4">
        <v>40.368</v>
      </c>
      <c r="D95" s="4">
        <v>77.377</v>
      </c>
      <c r="E95" s="4">
        <v>45.524</v>
      </c>
      <c r="F95" s="5">
        <v>7.8</v>
      </c>
      <c r="G95" s="5">
        <v>4.0</v>
      </c>
      <c r="H95" s="4">
        <f t="shared" si="1"/>
        <v>4.069302247</v>
      </c>
      <c r="I95" s="4">
        <f t="shared" si="2"/>
        <v>3.546964239</v>
      </c>
      <c r="J95" s="4">
        <f t="shared" si="3"/>
        <v>3.808133243</v>
      </c>
      <c r="K95" s="4">
        <f t="shared" si="4"/>
        <v>1.699696863</v>
      </c>
      <c r="L95" s="4">
        <f t="shared" si="5"/>
        <v>1.95</v>
      </c>
      <c r="M95" s="4">
        <f t="shared" si="6"/>
        <v>-0.128360583</v>
      </c>
      <c r="N95" s="3" t="s">
        <v>23</v>
      </c>
    </row>
    <row r="96" ht="15.75" customHeight="1">
      <c r="A96" s="2" t="s">
        <v>22</v>
      </c>
      <c r="B96" s="3">
        <v>2.04332801E8</v>
      </c>
      <c r="C96" s="4">
        <v>46.146</v>
      </c>
      <c r="D96" s="4">
        <v>83.053</v>
      </c>
      <c r="E96" s="4">
        <v>48.472</v>
      </c>
      <c r="F96" s="5">
        <v>7.8</v>
      </c>
      <c r="G96" s="5">
        <v>4.0</v>
      </c>
      <c r="H96" s="4">
        <f t="shared" si="1"/>
        <v>4.333844653</v>
      </c>
      <c r="I96" s="4">
        <f t="shared" si="2"/>
        <v>3.808054134</v>
      </c>
      <c r="J96" s="4">
        <f t="shared" si="3"/>
        <v>4.070949394</v>
      </c>
      <c r="K96" s="4">
        <f t="shared" si="4"/>
        <v>1.713422182</v>
      </c>
      <c r="L96" s="4">
        <f t="shared" si="5"/>
        <v>1.95</v>
      </c>
      <c r="M96" s="4">
        <f t="shared" si="6"/>
        <v>-0.121321958</v>
      </c>
      <c r="N96" s="3" t="s">
        <v>23</v>
      </c>
    </row>
    <row r="97" ht="15.75" customHeight="1">
      <c r="A97" s="3" t="s">
        <v>22</v>
      </c>
      <c r="B97" s="10">
        <v>6.19989864E8</v>
      </c>
      <c r="C97" s="9">
        <v>31.167</v>
      </c>
      <c r="D97" s="9">
        <v>57.176</v>
      </c>
      <c r="E97" s="9">
        <v>30.751</v>
      </c>
      <c r="F97" s="5">
        <v>7.8</v>
      </c>
      <c r="G97" s="5">
        <v>4.0</v>
      </c>
      <c r="H97" s="4">
        <f t="shared" si="1"/>
        <v>4.251829439</v>
      </c>
      <c r="I97" s="4">
        <f t="shared" si="2"/>
        <v>4.054112061</v>
      </c>
      <c r="J97" s="4">
        <f t="shared" si="3"/>
        <v>4.15297075</v>
      </c>
      <c r="K97" s="4">
        <f t="shared" si="4"/>
        <v>1.859321648</v>
      </c>
      <c r="L97" s="4">
        <f t="shared" si="5"/>
        <v>1.95</v>
      </c>
      <c r="M97" s="4">
        <f t="shared" si="6"/>
        <v>-0.04650171894</v>
      </c>
      <c r="N97" s="3" t="s">
        <v>23</v>
      </c>
    </row>
    <row r="98" ht="15.75" customHeight="1">
      <c r="A98" s="12" t="s">
        <v>22</v>
      </c>
      <c r="B98" s="10">
        <v>6.15091837E8</v>
      </c>
      <c r="C98" s="9">
        <v>43.276</v>
      </c>
      <c r="D98" s="9">
        <v>69.879</v>
      </c>
      <c r="E98" s="9">
        <v>42.012</v>
      </c>
      <c r="F98" s="5">
        <v>7.8</v>
      </c>
      <c r="G98" s="5">
        <v>4.0</v>
      </c>
      <c r="H98" s="4">
        <f t="shared" si="1"/>
        <v>4.830532778</v>
      </c>
      <c r="I98" s="4">
        <f t="shared" si="2"/>
        <v>4.120346568</v>
      </c>
      <c r="J98" s="4">
        <f t="shared" si="3"/>
        <v>4.475439673</v>
      </c>
      <c r="K98" s="4">
        <f t="shared" si="4"/>
        <v>1.663310483</v>
      </c>
      <c r="L98" s="4">
        <f t="shared" si="5"/>
        <v>1.95</v>
      </c>
      <c r="M98" s="4">
        <f t="shared" si="6"/>
        <v>-0.1470202653</v>
      </c>
      <c r="N98" s="3" t="s">
        <v>23</v>
      </c>
    </row>
    <row r="99" ht="15.75" customHeight="1">
      <c r="A99" s="3" t="s">
        <v>22</v>
      </c>
      <c r="B99" s="10">
        <v>2.91742701E8</v>
      </c>
      <c r="C99" s="9">
        <v>57.976</v>
      </c>
      <c r="D99" s="9">
        <v>120.104</v>
      </c>
      <c r="E99" s="9">
        <v>63.236</v>
      </c>
      <c r="F99" s="5">
        <v>7.8</v>
      </c>
      <c r="G99" s="5">
        <v>4.0</v>
      </c>
      <c r="H99" s="4">
        <f t="shared" si="1"/>
        <v>3.765176847</v>
      </c>
      <c r="I99" s="4">
        <f t="shared" si="2"/>
        <v>3.667278133</v>
      </c>
      <c r="J99" s="4">
        <f t="shared" si="3"/>
        <v>3.71622749</v>
      </c>
      <c r="K99" s="4">
        <f t="shared" si="4"/>
        <v>1.899297868</v>
      </c>
      <c r="L99" s="4">
        <f t="shared" si="5"/>
        <v>1.95</v>
      </c>
      <c r="M99" s="4">
        <f t="shared" si="6"/>
        <v>-0.02600109318</v>
      </c>
      <c r="N99" s="3" t="s">
        <v>23</v>
      </c>
    </row>
    <row r="100" ht="15.75" customHeight="1">
      <c r="A100" s="3" t="s">
        <v>24</v>
      </c>
      <c r="B100" s="3">
        <v>6.44012459E8</v>
      </c>
      <c r="C100" s="4">
        <v>40.535</v>
      </c>
      <c r="D100" s="4">
        <v>79.107</v>
      </c>
      <c r="E100" s="4">
        <v>39.806</v>
      </c>
      <c r="F100" s="5">
        <v>7.3</v>
      </c>
      <c r="G100" s="5">
        <v>3.8</v>
      </c>
      <c r="H100" s="4">
        <f t="shared" si="1"/>
        <v>3.740572895</v>
      </c>
      <c r="I100" s="4">
        <f t="shared" si="2"/>
        <v>3.869592524</v>
      </c>
      <c r="J100" s="4">
        <f t="shared" si="3"/>
        <v>3.805082709</v>
      </c>
      <c r="K100" s="4">
        <f t="shared" si="4"/>
        <v>1.98731347</v>
      </c>
      <c r="L100" s="4">
        <f t="shared" si="5"/>
        <v>1.921052632</v>
      </c>
      <c r="M100" s="4">
        <f t="shared" si="6"/>
        <v>0.03449194346</v>
      </c>
      <c r="N100" s="3" t="s">
        <v>25</v>
      </c>
    </row>
    <row r="101" ht="15.75" customHeight="1">
      <c r="A101" s="7" t="s">
        <v>24</v>
      </c>
      <c r="B101" s="3">
        <v>2.88474271E8</v>
      </c>
      <c r="C101" s="4">
        <v>41.345</v>
      </c>
      <c r="D101" s="4">
        <v>87.932</v>
      </c>
      <c r="E101" s="4">
        <v>45.001</v>
      </c>
      <c r="F101" s="5">
        <v>7.3</v>
      </c>
      <c r="G101" s="5">
        <v>3.8</v>
      </c>
      <c r="H101" s="4">
        <f t="shared" si="1"/>
        <v>3.432407997</v>
      </c>
      <c r="I101" s="4">
        <f t="shared" si="2"/>
        <v>3.491277972</v>
      </c>
      <c r="J101" s="4">
        <f t="shared" si="3"/>
        <v>3.461842984</v>
      </c>
      <c r="K101" s="4">
        <f t="shared" si="4"/>
        <v>1.954001022</v>
      </c>
      <c r="L101" s="4">
        <f t="shared" si="5"/>
        <v>1.921052632</v>
      </c>
      <c r="M101" s="4">
        <f t="shared" si="6"/>
        <v>0.01715121704</v>
      </c>
      <c r="N101" s="3" t="s">
        <v>25</v>
      </c>
    </row>
    <row r="102" ht="15.75" customHeight="1">
      <c r="A102" s="3" t="s">
        <v>24</v>
      </c>
      <c r="B102" s="3">
        <v>5.24308861E8</v>
      </c>
      <c r="C102" s="4">
        <v>46.597</v>
      </c>
      <c r="D102" s="4">
        <v>87.174</v>
      </c>
      <c r="E102" s="4">
        <v>42.668</v>
      </c>
      <c r="F102" s="5">
        <v>7.3</v>
      </c>
      <c r="G102" s="5">
        <v>3.8</v>
      </c>
      <c r="H102" s="4">
        <f t="shared" si="1"/>
        <v>3.9020591</v>
      </c>
      <c r="I102" s="4">
        <f t="shared" si="2"/>
        <v>4.149915628</v>
      </c>
      <c r="J102" s="4">
        <f t="shared" si="3"/>
        <v>4.025987364</v>
      </c>
      <c r="K102" s="4">
        <f t="shared" si="4"/>
        <v>2.043076779</v>
      </c>
      <c r="L102" s="4">
        <f t="shared" si="5"/>
        <v>1.921052632</v>
      </c>
      <c r="M102" s="4">
        <f t="shared" si="6"/>
        <v>0.06351941913</v>
      </c>
      <c r="N102" s="3" t="s">
        <v>25</v>
      </c>
    </row>
    <row r="103" ht="15.75" customHeight="1">
      <c r="A103" s="3" t="s">
        <v>24</v>
      </c>
      <c r="B103" s="3">
        <v>6.28522436E8</v>
      </c>
      <c r="C103" s="4">
        <v>41.183</v>
      </c>
      <c r="D103" s="4">
        <v>83.417</v>
      </c>
      <c r="E103" s="4">
        <v>45.025</v>
      </c>
      <c r="F103" s="5">
        <v>7.3</v>
      </c>
      <c r="G103" s="5">
        <v>3.8</v>
      </c>
      <c r="H103" s="4">
        <f t="shared" si="1"/>
        <v>3.604012372</v>
      </c>
      <c r="I103" s="4">
        <f t="shared" si="2"/>
        <v>3.475744586</v>
      </c>
      <c r="J103" s="4">
        <f t="shared" si="3"/>
        <v>3.539878479</v>
      </c>
      <c r="K103" s="4">
        <f t="shared" si="4"/>
        <v>1.852681843</v>
      </c>
      <c r="L103" s="4">
        <f t="shared" si="5"/>
        <v>1.921052632</v>
      </c>
      <c r="M103" s="4">
        <f t="shared" si="6"/>
        <v>-0.03559027329</v>
      </c>
      <c r="N103" s="3" t="s">
        <v>25</v>
      </c>
    </row>
    <row r="104" ht="15.75" customHeight="1">
      <c r="A104" s="3" t="s">
        <v>24</v>
      </c>
      <c r="B104" s="3">
        <v>6.11196207E8</v>
      </c>
      <c r="C104" s="4">
        <v>53.009</v>
      </c>
      <c r="D104" s="4">
        <v>91.537</v>
      </c>
      <c r="E104" s="4">
        <v>52.866</v>
      </c>
      <c r="F104" s="5">
        <v>7.3</v>
      </c>
      <c r="G104" s="5">
        <v>3.8</v>
      </c>
      <c r="H104" s="4">
        <f t="shared" si="1"/>
        <v>4.227423883</v>
      </c>
      <c r="I104" s="4">
        <f t="shared" si="2"/>
        <v>3.810278818</v>
      </c>
      <c r="J104" s="4">
        <f t="shared" si="3"/>
        <v>4.018851351</v>
      </c>
      <c r="K104" s="4">
        <f t="shared" si="4"/>
        <v>1.731490939</v>
      </c>
      <c r="L104" s="4">
        <f t="shared" si="5"/>
        <v>1.921052632</v>
      </c>
      <c r="M104" s="4">
        <f t="shared" si="6"/>
        <v>-0.09867594938</v>
      </c>
      <c r="N104" s="3" t="s">
        <v>25</v>
      </c>
    </row>
    <row r="105" ht="15.75" customHeight="1">
      <c r="A105" s="3" t="s">
        <v>24</v>
      </c>
      <c r="B105" s="3">
        <v>2.05941921E8</v>
      </c>
      <c r="C105" s="4">
        <v>41.627</v>
      </c>
      <c r="D105" s="4">
        <v>80.159</v>
      </c>
      <c r="E105" s="4">
        <v>45.522</v>
      </c>
      <c r="F105" s="5">
        <v>7.3</v>
      </c>
      <c r="G105" s="5">
        <v>3.8</v>
      </c>
      <c r="H105" s="4">
        <f t="shared" si="1"/>
        <v>3.790929278</v>
      </c>
      <c r="I105" s="4">
        <f t="shared" si="2"/>
        <v>3.474860507</v>
      </c>
      <c r="J105" s="4">
        <f t="shared" si="3"/>
        <v>3.632894893</v>
      </c>
      <c r="K105" s="4">
        <f t="shared" si="4"/>
        <v>1.760884847</v>
      </c>
      <c r="L105" s="4">
        <f t="shared" si="5"/>
        <v>1.921052632</v>
      </c>
      <c r="M105" s="4">
        <f t="shared" si="6"/>
        <v>-0.08337501121</v>
      </c>
      <c r="N105" s="3" t="s">
        <v>25</v>
      </c>
    </row>
    <row r="106" ht="15.75" customHeight="1">
      <c r="A106" s="3" t="s">
        <v>24</v>
      </c>
      <c r="B106" s="3">
        <v>6.26787193E8</v>
      </c>
      <c r="C106" s="4">
        <v>36.008</v>
      </c>
      <c r="D106" s="4">
        <v>70.412</v>
      </c>
      <c r="E106" s="4">
        <v>37.357</v>
      </c>
      <c r="F106" s="5">
        <v>7.3</v>
      </c>
      <c r="G106" s="5">
        <v>3.8</v>
      </c>
      <c r="H106" s="4">
        <f t="shared" si="1"/>
        <v>3.733147759</v>
      </c>
      <c r="I106" s="4">
        <f t="shared" si="2"/>
        <v>3.66277806</v>
      </c>
      <c r="J106" s="4">
        <f t="shared" si="3"/>
        <v>3.69796291</v>
      </c>
      <c r="K106" s="4">
        <f t="shared" si="4"/>
        <v>1.88484086</v>
      </c>
      <c r="L106" s="4">
        <f t="shared" si="5"/>
        <v>1.921052632</v>
      </c>
      <c r="M106" s="4">
        <f t="shared" si="6"/>
        <v>-0.01884996339</v>
      </c>
      <c r="N106" s="3" t="s">
        <v>25</v>
      </c>
    </row>
    <row r="107" ht="15.75" customHeight="1">
      <c r="A107" s="3" t="s">
        <v>24</v>
      </c>
      <c r="B107" s="3">
        <v>6.30909508E8</v>
      </c>
      <c r="C107" s="4">
        <v>52.35</v>
      </c>
      <c r="D107" s="4">
        <v>90.667</v>
      </c>
      <c r="E107" s="4">
        <v>49.361</v>
      </c>
      <c r="F107" s="5">
        <v>7.3</v>
      </c>
      <c r="G107" s="5">
        <v>3.8</v>
      </c>
      <c r="H107" s="4">
        <f t="shared" si="1"/>
        <v>4.214929357</v>
      </c>
      <c r="I107" s="4">
        <f t="shared" si="2"/>
        <v>4.030104739</v>
      </c>
      <c r="J107" s="4">
        <f t="shared" si="3"/>
        <v>4.122517048</v>
      </c>
      <c r="K107" s="4">
        <f t="shared" si="4"/>
        <v>1.836814489</v>
      </c>
      <c r="L107" s="4">
        <f t="shared" si="5"/>
        <v>1.921052632</v>
      </c>
      <c r="M107" s="4">
        <f t="shared" si="6"/>
        <v>-0.04384999194</v>
      </c>
      <c r="N107" s="3" t="s">
        <v>25</v>
      </c>
    </row>
    <row r="108" ht="15.75" customHeight="1">
      <c r="A108" s="3" t="s">
        <v>24</v>
      </c>
      <c r="B108" s="3">
        <v>3.52779401E8</v>
      </c>
      <c r="C108" s="4">
        <v>43.846</v>
      </c>
      <c r="D108" s="4">
        <v>95.012</v>
      </c>
      <c r="E108" s="4">
        <v>48.51</v>
      </c>
      <c r="F108" s="5">
        <v>7.3</v>
      </c>
      <c r="G108" s="5">
        <v>3.8</v>
      </c>
      <c r="H108" s="4">
        <f t="shared" si="1"/>
        <v>3.368793416</v>
      </c>
      <c r="I108" s="4">
        <f t="shared" si="2"/>
        <v>3.434648526</v>
      </c>
      <c r="J108" s="4">
        <f t="shared" si="3"/>
        <v>3.401720971</v>
      </c>
      <c r="K108" s="4">
        <f t="shared" si="4"/>
        <v>1.958606473</v>
      </c>
      <c r="L108" s="4">
        <f t="shared" si="5"/>
        <v>1.921052632</v>
      </c>
      <c r="M108" s="4">
        <f t="shared" si="6"/>
        <v>0.01954857493</v>
      </c>
      <c r="N108" s="3" t="s">
        <v>25</v>
      </c>
    </row>
    <row r="109" ht="15.75" customHeight="1">
      <c r="A109" s="3" t="s">
        <v>24</v>
      </c>
      <c r="B109" s="3">
        <v>6.29431768E8</v>
      </c>
      <c r="C109" s="4">
        <v>42.274</v>
      </c>
      <c r="D109" s="4">
        <v>90.311</v>
      </c>
      <c r="E109" s="4">
        <v>47.013</v>
      </c>
      <c r="F109" s="5">
        <v>7.3</v>
      </c>
      <c r="G109" s="5">
        <v>3.8</v>
      </c>
      <c r="H109" s="4">
        <f t="shared" si="1"/>
        <v>3.41708319</v>
      </c>
      <c r="I109" s="4">
        <f t="shared" si="2"/>
        <v>3.416952758</v>
      </c>
      <c r="J109" s="4">
        <f t="shared" si="3"/>
        <v>3.417017974</v>
      </c>
      <c r="K109" s="4">
        <f t="shared" si="4"/>
        <v>1.920979304</v>
      </c>
      <c r="L109" s="4">
        <f t="shared" si="5"/>
        <v>1.921052632</v>
      </c>
      <c r="M109" s="4">
        <f t="shared" si="6"/>
        <v>-0.00003817073039</v>
      </c>
      <c r="N109" s="3" t="s">
        <v>25</v>
      </c>
    </row>
    <row r="110" ht="15.75" customHeight="1">
      <c r="A110" s="3" t="s">
        <v>24</v>
      </c>
      <c r="B110" s="3">
        <v>3.57019651E8</v>
      </c>
      <c r="C110" s="4">
        <v>46.838</v>
      </c>
      <c r="D110" s="4">
        <v>83.523</v>
      </c>
      <c r="E110" s="4">
        <v>47.408</v>
      </c>
      <c r="F110" s="5">
        <v>7.3</v>
      </c>
      <c r="G110" s="5">
        <v>3.8</v>
      </c>
      <c r="H110" s="4">
        <f t="shared" si="1"/>
        <v>4.093691558</v>
      </c>
      <c r="I110" s="4">
        <f t="shared" si="2"/>
        <v>3.754311509</v>
      </c>
      <c r="J110" s="4">
        <f t="shared" si="3"/>
        <v>3.924001533</v>
      </c>
      <c r="K110" s="4">
        <f t="shared" si="4"/>
        <v>1.761791259</v>
      </c>
      <c r="L110" s="4">
        <f t="shared" si="5"/>
        <v>1.921052632</v>
      </c>
      <c r="M110" s="4">
        <f t="shared" si="6"/>
        <v>-0.08290318032</v>
      </c>
      <c r="N110" s="3" t="s">
        <v>25</v>
      </c>
    </row>
    <row r="111" ht="15.75" customHeight="1">
      <c r="A111" s="3" t="s">
        <v>24</v>
      </c>
      <c r="B111" s="3">
        <v>1.47869801E8</v>
      </c>
      <c r="C111" s="4">
        <v>40.869</v>
      </c>
      <c r="D111" s="4">
        <v>90.363</v>
      </c>
      <c r="E111" s="4">
        <v>48.805</v>
      </c>
      <c r="F111" s="5">
        <v>7.3</v>
      </c>
      <c r="G111" s="5">
        <v>3.8</v>
      </c>
      <c r="H111" s="4">
        <f t="shared" si="1"/>
        <v>3.301613492</v>
      </c>
      <c r="I111" s="4">
        <f t="shared" si="2"/>
        <v>3.182096097</v>
      </c>
      <c r="J111" s="4">
        <f t="shared" si="3"/>
        <v>3.241854794</v>
      </c>
      <c r="K111" s="4">
        <f t="shared" si="4"/>
        <v>1.851511116</v>
      </c>
      <c r="L111" s="4">
        <f t="shared" si="5"/>
        <v>1.921052632</v>
      </c>
      <c r="M111" s="4">
        <f t="shared" si="6"/>
        <v>-0.03619969322</v>
      </c>
      <c r="N111" s="3" t="s">
        <v>25</v>
      </c>
    </row>
    <row r="112" ht="15.75" customHeight="1">
      <c r="A112" s="3" t="s">
        <v>24</v>
      </c>
      <c r="B112" s="3">
        <v>6.24588808E8</v>
      </c>
      <c r="C112" s="4">
        <v>41.743</v>
      </c>
      <c r="D112" s="4">
        <v>79.351</v>
      </c>
      <c r="E112" s="4">
        <v>42.297</v>
      </c>
      <c r="F112" s="5">
        <v>7.3</v>
      </c>
      <c r="G112" s="5">
        <v>3.8</v>
      </c>
      <c r="H112" s="4">
        <f t="shared" si="1"/>
        <v>3.840202392</v>
      </c>
      <c r="I112" s="4">
        <f t="shared" si="2"/>
        <v>3.750228149</v>
      </c>
      <c r="J112" s="4">
        <f t="shared" si="3"/>
        <v>3.79521527</v>
      </c>
      <c r="K112" s="4">
        <f t="shared" si="4"/>
        <v>1.876043218</v>
      </c>
      <c r="L112" s="4">
        <f t="shared" si="5"/>
        <v>1.921052632</v>
      </c>
      <c r="M112" s="4">
        <f t="shared" si="6"/>
        <v>-0.02342955765</v>
      </c>
      <c r="N112" s="3" t="s">
        <v>25</v>
      </c>
    </row>
    <row r="113" ht="15.75" customHeight="1">
      <c r="A113" s="6" t="s">
        <v>24</v>
      </c>
      <c r="B113" s="3">
        <v>6.26171295E8</v>
      </c>
      <c r="C113" s="4">
        <v>51.619</v>
      </c>
      <c r="D113" s="4">
        <v>111.496</v>
      </c>
      <c r="E113" s="4">
        <v>47.321</v>
      </c>
      <c r="F113" s="5">
        <v>7.3</v>
      </c>
      <c r="G113" s="5">
        <v>3.8</v>
      </c>
      <c r="H113" s="4">
        <f t="shared" si="1"/>
        <v>3.379661154</v>
      </c>
      <c r="I113" s="4">
        <f t="shared" si="2"/>
        <v>4.145140635</v>
      </c>
      <c r="J113" s="4">
        <f t="shared" si="3"/>
        <v>3.762400894</v>
      </c>
      <c r="K113" s="4">
        <f t="shared" si="4"/>
        <v>2.356163226</v>
      </c>
      <c r="L113" s="4">
        <f t="shared" si="5"/>
        <v>1.921052632</v>
      </c>
      <c r="M113" s="4">
        <f t="shared" si="6"/>
        <v>0.2264959257</v>
      </c>
      <c r="N113" s="3" t="s">
        <v>25</v>
      </c>
    </row>
    <row r="114" ht="15.75" customHeight="1">
      <c r="A114" s="2" t="s">
        <v>24</v>
      </c>
      <c r="B114" s="3">
        <v>6.26079536E8</v>
      </c>
      <c r="C114" s="4">
        <v>38.374</v>
      </c>
      <c r="D114" s="4">
        <v>73.859</v>
      </c>
      <c r="E114" s="4">
        <v>44.545</v>
      </c>
      <c r="F114" s="5">
        <v>7.3</v>
      </c>
      <c r="G114" s="5">
        <v>3.8</v>
      </c>
      <c r="H114" s="4">
        <f t="shared" si="1"/>
        <v>3.792770008</v>
      </c>
      <c r="I114" s="4">
        <f t="shared" si="2"/>
        <v>3.273570547</v>
      </c>
      <c r="J114" s="4">
        <f t="shared" si="3"/>
        <v>3.533170277</v>
      </c>
      <c r="K114" s="4">
        <f t="shared" si="4"/>
        <v>1.658076103</v>
      </c>
      <c r="L114" s="4">
        <f t="shared" si="5"/>
        <v>1.921052632</v>
      </c>
      <c r="M114" s="4">
        <f t="shared" si="6"/>
        <v>-0.1368918917</v>
      </c>
      <c r="N114" s="3" t="s">
        <v>25</v>
      </c>
    </row>
    <row r="115" ht="15.75" customHeight="1">
      <c r="A115" s="12" t="s">
        <v>24</v>
      </c>
      <c r="B115" s="10">
        <v>6.29229544E8</v>
      </c>
      <c r="C115" s="9">
        <v>48.332</v>
      </c>
      <c r="D115" s="9">
        <v>88.943</v>
      </c>
      <c r="E115" s="9">
        <v>52.175</v>
      </c>
      <c r="F115" s="5">
        <v>7.3</v>
      </c>
      <c r="G115" s="5">
        <v>3.8</v>
      </c>
      <c r="H115" s="4">
        <f t="shared" si="1"/>
        <v>3.96685068</v>
      </c>
      <c r="I115" s="4">
        <f t="shared" si="2"/>
        <v>3.520107331</v>
      </c>
      <c r="J115" s="4">
        <f t="shared" si="3"/>
        <v>3.743479005</v>
      </c>
      <c r="K115" s="4">
        <f t="shared" si="4"/>
        <v>1.704705319</v>
      </c>
      <c r="L115" s="4">
        <f t="shared" si="5"/>
        <v>1.921052632</v>
      </c>
      <c r="M115" s="4">
        <f t="shared" si="6"/>
        <v>-0.1126191492</v>
      </c>
      <c r="N115" s="3" t="s">
        <v>25</v>
      </c>
    </row>
    <row r="116" ht="15.75" customHeight="1">
      <c r="A116" s="3" t="s">
        <v>24</v>
      </c>
      <c r="B116" s="10">
        <v>5.24271181E8</v>
      </c>
      <c r="C116" s="9">
        <v>42.615</v>
      </c>
      <c r="D116" s="9">
        <v>79.63</v>
      </c>
      <c r="E116" s="9">
        <v>46.284</v>
      </c>
      <c r="F116" s="5">
        <v>7.3</v>
      </c>
      <c r="G116" s="5">
        <v>3.8</v>
      </c>
      <c r="H116" s="4">
        <f t="shared" si="1"/>
        <v>3.906687178</v>
      </c>
      <c r="I116" s="4">
        <f t="shared" si="2"/>
        <v>3.498768473</v>
      </c>
      <c r="J116" s="4">
        <f t="shared" si="3"/>
        <v>3.702727826</v>
      </c>
      <c r="K116" s="4">
        <f t="shared" si="4"/>
        <v>1.720464955</v>
      </c>
      <c r="L116" s="4">
        <f t="shared" si="5"/>
        <v>1.921052632</v>
      </c>
      <c r="M116" s="4">
        <f t="shared" si="6"/>
        <v>-0.1044155026</v>
      </c>
      <c r="N116" s="3" t="s">
        <v>25</v>
      </c>
    </row>
    <row r="117" ht="15.75" customHeight="1">
      <c r="A117" s="3" t="s">
        <v>26</v>
      </c>
      <c r="B117" s="3">
        <v>5.25116011E8</v>
      </c>
      <c r="C117" s="4">
        <v>37.173</v>
      </c>
      <c r="D117" s="4">
        <v>59.98</v>
      </c>
      <c r="E117" s="4">
        <v>35.839</v>
      </c>
      <c r="F117" s="5">
        <v>10.0</v>
      </c>
      <c r="G117" s="5">
        <v>5.7</v>
      </c>
      <c r="H117" s="4">
        <f t="shared" si="1"/>
        <v>6.197565855</v>
      </c>
      <c r="I117" s="4">
        <f t="shared" si="2"/>
        <v>5.912165518</v>
      </c>
      <c r="J117" s="4">
        <f t="shared" si="3"/>
        <v>6.054865687</v>
      </c>
      <c r="K117" s="4">
        <f t="shared" si="4"/>
        <v>1.673595803</v>
      </c>
      <c r="L117" s="4">
        <f t="shared" si="5"/>
        <v>1.754385965</v>
      </c>
      <c r="M117" s="4">
        <f t="shared" si="6"/>
        <v>-0.04605039203</v>
      </c>
      <c r="N117" s="3" t="s">
        <v>27</v>
      </c>
    </row>
    <row r="118" ht="15.75" customHeight="1">
      <c r="A118" s="3" t="s">
        <v>26</v>
      </c>
      <c r="B118" s="3">
        <v>8.2956161E7</v>
      </c>
      <c r="C118" s="4">
        <v>33.213</v>
      </c>
      <c r="D118" s="4">
        <v>49.882</v>
      </c>
      <c r="E118" s="4">
        <v>30.64</v>
      </c>
      <c r="F118" s="5">
        <v>10.0</v>
      </c>
      <c r="G118" s="5">
        <v>5.7</v>
      </c>
      <c r="H118" s="4">
        <f t="shared" si="1"/>
        <v>6.65831362</v>
      </c>
      <c r="I118" s="4">
        <f t="shared" si="2"/>
        <v>6.178658616</v>
      </c>
      <c r="J118" s="4">
        <f t="shared" si="3"/>
        <v>6.418486118</v>
      </c>
      <c r="K118" s="4">
        <f t="shared" si="4"/>
        <v>1.628002611</v>
      </c>
      <c r="L118" s="4">
        <f t="shared" si="5"/>
        <v>1.754385965</v>
      </c>
      <c r="M118" s="4">
        <f t="shared" si="6"/>
        <v>-0.07203851175</v>
      </c>
      <c r="N118" s="3" t="s">
        <v>27</v>
      </c>
    </row>
    <row r="119" ht="15.75" customHeight="1">
      <c r="A119" s="2" t="s">
        <v>26</v>
      </c>
      <c r="B119" s="3">
        <v>8.6621691E7</v>
      </c>
      <c r="C119" s="4">
        <v>38.296</v>
      </c>
      <c r="D119" s="4">
        <v>62.756</v>
      </c>
      <c r="E119" s="4">
        <v>41.86</v>
      </c>
      <c r="F119" s="5">
        <v>10.0</v>
      </c>
      <c r="G119" s="5">
        <v>5.7</v>
      </c>
      <c r="H119" s="4">
        <f t="shared" si="1"/>
        <v>6.102364714</v>
      </c>
      <c r="I119" s="4">
        <f t="shared" si="2"/>
        <v>5.214696608</v>
      </c>
      <c r="J119" s="4">
        <f t="shared" si="3"/>
        <v>5.658530661</v>
      </c>
      <c r="K119" s="4">
        <f t="shared" si="4"/>
        <v>1.499187769</v>
      </c>
      <c r="L119" s="4">
        <f t="shared" si="5"/>
        <v>1.754385965</v>
      </c>
      <c r="M119" s="4">
        <f t="shared" si="6"/>
        <v>-0.1454629718</v>
      </c>
      <c r="N119" s="3" t="s">
        <v>27</v>
      </c>
    </row>
    <row r="120" ht="15.75" customHeight="1">
      <c r="A120" s="6" t="s">
        <v>26</v>
      </c>
      <c r="B120" s="3">
        <v>1.27954051E8</v>
      </c>
      <c r="C120" s="4">
        <v>34.061</v>
      </c>
      <c r="D120" s="4">
        <v>53.177</v>
      </c>
      <c r="E120" s="4">
        <v>37.314</v>
      </c>
      <c r="F120" s="5">
        <v>10.0</v>
      </c>
      <c r="G120" s="5">
        <v>5.7</v>
      </c>
      <c r="H120" s="4">
        <f t="shared" si="1"/>
        <v>6.40521278</v>
      </c>
      <c r="I120" s="4">
        <f t="shared" si="2"/>
        <v>5.203079273</v>
      </c>
      <c r="J120" s="4">
        <f t="shared" si="3"/>
        <v>5.804146027</v>
      </c>
      <c r="K120" s="4">
        <f t="shared" si="4"/>
        <v>1.425121938</v>
      </c>
      <c r="L120" s="4">
        <f t="shared" si="5"/>
        <v>1.754385965</v>
      </c>
      <c r="M120" s="4">
        <f t="shared" si="6"/>
        <v>-0.1876804953</v>
      </c>
      <c r="N120" s="3" t="s">
        <v>27</v>
      </c>
    </row>
    <row r="121" ht="15.75" customHeight="1">
      <c r="A121" s="3" t="s">
        <v>26</v>
      </c>
      <c r="B121" s="3">
        <v>2.30033691E8</v>
      </c>
      <c r="C121" s="4">
        <v>33.898</v>
      </c>
      <c r="D121" s="4">
        <v>49.979</v>
      </c>
      <c r="E121" s="4">
        <v>29.712</v>
      </c>
      <c r="F121" s="5">
        <v>10.0</v>
      </c>
      <c r="G121" s="5">
        <v>5.7</v>
      </c>
      <c r="H121" s="4">
        <f t="shared" si="1"/>
        <v>6.782448628</v>
      </c>
      <c r="I121" s="4">
        <f t="shared" si="2"/>
        <v>6.503049273</v>
      </c>
      <c r="J121" s="4">
        <f t="shared" si="3"/>
        <v>6.642748951</v>
      </c>
      <c r="K121" s="4">
        <f t="shared" si="4"/>
        <v>1.68211497</v>
      </c>
      <c r="L121" s="4">
        <f t="shared" si="5"/>
        <v>1.754385965</v>
      </c>
      <c r="M121" s="4">
        <f t="shared" si="6"/>
        <v>-0.04119446688</v>
      </c>
      <c r="N121" s="3" t="s">
        <v>27</v>
      </c>
    </row>
    <row r="122" ht="15.75" customHeight="1">
      <c r="A122" s="6" t="s">
        <v>26</v>
      </c>
      <c r="B122" s="3">
        <v>5.11161811E8</v>
      </c>
      <c r="C122" s="4">
        <v>31.275</v>
      </c>
      <c r="D122" s="4">
        <v>50.787</v>
      </c>
      <c r="E122" s="4">
        <v>23.95</v>
      </c>
      <c r="F122" s="5">
        <v>10.0</v>
      </c>
      <c r="G122" s="5">
        <v>5.7</v>
      </c>
      <c r="H122" s="4">
        <f t="shared" si="1"/>
        <v>6.158071948</v>
      </c>
      <c r="I122" s="4">
        <f t="shared" si="2"/>
        <v>7.443319415</v>
      </c>
      <c r="J122" s="4">
        <f t="shared" si="3"/>
        <v>6.800695681</v>
      </c>
      <c r="K122" s="4">
        <f t="shared" si="4"/>
        <v>2.120542797</v>
      </c>
      <c r="L122" s="4">
        <f t="shared" si="5"/>
        <v>1.754385965</v>
      </c>
      <c r="M122" s="4">
        <f t="shared" si="6"/>
        <v>0.2087093946</v>
      </c>
      <c r="N122" s="3" t="s">
        <v>27</v>
      </c>
    </row>
    <row r="123" ht="15.75" customHeight="1">
      <c r="A123" s="2" t="s">
        <v>26</v>
      </c>
      <c r="B123" s="3">
        <v>5.40835811E8</v>
      </c>
      <c r="C123" s="4">
        <v>27.019</v>
      </c>
      <c r="D123" s="4">
        <v>46.825</v>
      </c>
      <c r="E123" s="4">
        <v>24.034</v>
      </c>
      <c r="F123" s="5">
        <v>10.0</v>
      </c>
      <c r="G123" s="5">
        <v>5.7</v>
      </c>
      <c r="H123" s="4">
        <f t="shared" si="1"/>
        <v>5.770208222</v>
      </c>
      <c r="I123" s="4">
        <f t="shared" si="2"/>
        <v>6.407934593</v>
      </c>
      <c r="J123" s="4">
        <f t="shared" si="3"/>
        <v>6.089071407</v>
      </c>
      <c r="K123" s="4">
        <f t="shared" si="4"/>
        <v>1.948281601</v>
      </c>
      <c r="L123" s="4">
        <f t="shared" si="5"/>
        <v>1.754385965</v>
      </c>
      <c r="M123" s="4">
        <f t="shared" si="6"/>
        <v>0.1105205126</v>
      </c>
      <c r="N123" s="3" t="s">
        <v>27</v>
      </c>
    </row>
    <row r="124" ht="15.75" customHeight="1">
      <c r="A124" s="3" t="s">
        <v>26</v>
      </c>
      <c r="B124" s="3">
        <v>6.17216913E8</v>
      </c>
      <c r="C124" s="4">
        <v>28.624</v>
      </c>
      <c r="D124" s="4">
        <v>49.778</v>
      </c>
      <c r="E124" s="4">
        <v>30.637</v>
      </c>
      <c r="F124" s="5">
        <v>10.0</v>
      </c>
      <c r="G124" s="5">
        <v>5.7</v>
      </c>
      <c r="H124" s="4">
        <f t="shared" si="1"/>
        <v>5.750331472</v>
      </c>
      <c r="I124" s="4">
        <f t="shared" si="2"/>
        <v>5.32548226</v>
      </c>
      <c r="J124" s="4">
        <f t="shared" si="3"/>
        <v>5.537906866</v>
      </c>
      <c r="K124" s="4">
        <f t="shared" si="4"/>
        <v>1.624767438</v>
      </c>
      <c r="L124" s="4">
        <f t="shared" si="5"/>
        <v>1.754385965</v>
      </c>
      <c r="M124" s="4">
        <f t="shared" si="6"/>
        <v>-0.0738825603</v>
      </c>
      <c r="N124" s="3" t="s">
        <v>27</v>
      </c>
    </row>
    <row r="125" ht="15.75" customHeight="1">
      <c r="A125" s="3" t="s">
        <v>26</v>
      </c>
      <c r="B125" s="3">
        <v>2.45333711E8</v>
      </c>
      <c r="C125" s="4">
        <v>43.469</v>
      </c>
      <c r="D125" s="4">
        <v>76.787</v>
      </c>
      <c r="E125" s="4">
        <v>45.136</v>
      </c>
      <c r="F125" s="5">
        <v>10.0</v>
      </c>
      <c r="G125" s="5">
        <v>5.7</v>
      </c>
      <c r="H125" s="4">
        <f t="shared" si="1"/>
        <v>5.660984281</v>
      </c>
      <c r="I125" s="4">
        <f t="shared" si="2"/>
        <v>5.489482896</v>
      </c>
      <c r="J125" s="4">
        <f t="shared" si="3"/>
        <v>5.575233589</v>
      </c>
      <c r="K125" s="4">
        <f t="shared" si="4"/>
        <v>1.701236264</v>
      </c>
      <c r="L125" s="4">
        <f t="shared" si="5"/>
        <v>1.754385965</v>
      </c>
      <c r="M125" s="4">
        <f t="shared" si="6"/>
        <v>-0.03029532967</v>
      </c>
      <c r="N125" s="3" t="s">
        <v>27</v>
      </c>
    </row>
    <row r="126" ht="15.75" customHeight="1">
      <c r="A126" s="3" t="s">
        <v>26</v>
      </c>
      <c r="B126" s="3">
        <v>2.12359191E8</v>
      </c>
      <c r="C126" s="4">
        <v>32.742</v>
      </c>
      <c r="D126" s="4">
        <v>57.322</v>
      </c>
      <c r="E126" s="4">
        <v>33.615</v>
      </c>
      <c r="F126" s="5">
        <v>10.0</v>
      </c>
      <c r="G126" s="5">
        <v>5.7</v>
      </c>
      <c r="H126" s="4">
        <f t="shared" si="1"/>
        <v>5.711943059</v>
      </c>
      <c r="I126" s="4">
        <f t="shared" si="2"/>
        <v>5.551967871</v>
      </c>
      <c r="J126" s="4">
        <f t="shared" si="3"/>
        <v>5.631955465</v>
      </c>
      <c r="K126" s="4">
        <f t="shared" si="4"/>
        <v>1.705250632</v>
      </c>
      <c r="L126" s="4">
        <f t="shared" si="5"/>
        <v>1.754385965</v>
      </c>
      <c r="M126" s="4">
        <f t="shared" si="6"/>
        <v>-0.02800713967</v>
      </c>
      <c r="N126" s="3" t="s">
        <v>27</v>
      </c>
    </row>
    <row r="127" ht="15.75" customHeight="1">
      <c r="A127" s="3" t="s">
        <v>26</v>
      </c>
      <c r="B127" s="3">
        <v>4.10709801E8</v>
      </c>
      <c r="C127" s="4">
        <v>38.013</v>
      </c>
      <c r="D127" s="4">
        <v>65.682</v>
      </c>
      <c r="E127" s="4">
        <v>39.621</v>
      </c>
      <c r="F127" s="5">
        <v>10.0</v>
      </c>
      <c r="G127" s="5">
        <v>5.7</v>
      </c>
      <c r="H127" s="4">
        <f t="shared" si="1"/>
        <v>5.787430346</v>
      </c>
      <c r="I127" s="4">
        <f t="shared" si="2"/>
        <v>5.468668131</v>
      </c>
      <c r="J127" s="4">
        <f t="shared" si="3"/>
        <v>5.628049238</v>
      </c>
      <c r="K127" s="4">
        <f t="shared" si="4"/>
        <v>1.65775725</v>
      </c>
      <c r="L127" s="4">
        <f t="shared" si="5"/>
        <v>1.754385965</v>
      </c>
      <c r="M127" s="4">
        <f t="shared" si="6"/>
        <v>-0.05507836753</v>
      </c>
      <c r="N127" s="3" t="s">
        <v>27</v>
      </c>
    </row>
    <row r="128" ht="15.75" customHeight="1">
      <c r="A128" s="2" t="s">
        <v>26</v>
      </c>
      <c r="B128" s="3">
        <v>6.22592055E8</v>
      </c>
      <c r="C128" s="4">
        <v>46.487</v>
      </c>
      <c r="D128" s="4">
        <v>79.55</v>
      </c>
      <c r="E128" s="4">
        <v>52.049</v>
      </c>
      <c r="F128" s="5">
        <v>10.0</v>
      </c>
      <c r="G128" s="5">
        <v>5.7</v>
      </c>
      <c r="H128" s="4">
        <f t="shared" si="1"/>
        <v>5.843746072</v>
      </c>
      <c r="I128" s="4">
        <f t="shared" si="2"/>
        <v>5.090893197</v>
      </c>
      <c r="J128" s="4">
        <f t="shared" si="3"/>
        <v>5.467319634</v>
      </c>
      <c r="K128" s="4">
        <f t="shared" si="4"/>
        <v>1.5283675</v>
      </c>
      <c r="L128" s="4">
        <f t="shared" si="5"/>
        <v>1.754385965</v>
      </c>
      <c r="M128" s="4">
        <f t="shared" si="6"/>
        <v>-0.1288305251</v>
      </c>
      <c r="N128" s="3" t="s">
        <v>27</v>
      </c>
    </row>
    <row r="129" ht="15.75" customHeight="1">
      <c r="A129" s="3" t="s">
        <v>26</v>
      </c>
      <c r="B129" s="3">
        <v>6.25565839E8</v>
      </c>
      <c r="C129" s="4">
        <v>53.263</v>
      </c>
      <c r="D129" s="4">
        <v>85.279</v>
      </c>
      <c r="E129" s="4">
        <v>49.98</v>
      </c>
      <c r="F129" s="5">
        <v>10.0</v>
      </c>
      <c r="G129" s="5">
        <v>5.7</v>
      </c>
      <c r="H129" s="4">
        <f t="shared" si="1"/>
        <v>6.245734589</v>
      </c>
      <c r="I129" s="4">
        <f t="shared" si="2"/>
        <v>6.074411765</v>
      </c>
      <c r="J129" s="4">
        <f t="shared" si="3"/>
        <v>6.160073177</v>
      </c>
      <c r="K129" s="4">
        <f t="shared" si="4"/>
        <v>1.706262505</v>
      </c>
      <c r="L129" s="4">
        <f t="shared" si="5"/>
        <v>1.754385965</v>
      </c>
      <c r="M129" s="4">
        <f t="shared" si="6"/>
        <v>-0.02743037215</v>
      </c>
      <c r="N129" s="3" t="s">
        <v>27</v>
      </c>
    </row>
    <row r="130" ht="15.75" customHeight="1">
      <c r="A130" s="3" t="s">
        <v>26</v>
      </c>
      <c r="B130" s="3">
        <v>6.24258638E8</v>
      </c>
      <c r="C130" s="4">
        <v>33.579</v>
      </c>
      <c r="D130" s="4">
        <v>57.437</v>
      </c>
      <c r="E130" s="4">
        <v>31.344</v>
      </c>
      <c r="F130" s="5">
        <v>10.0</v>
      </c>
      <c r="G130" s="5">
        <v>5.7</v>
      </c>
      <c r="H130" s="4">
        <f t="shared" si="1"/>
        <v>5.846231523</v>
      </c>
      <c r="I130" s="4">
        <f t="shared" si="2"/>
        <v>6.106441424</v>
      </c>
      <c r="J130" s="4">
        <f t="shared" si="3"/>
        <v>5.976336474</v>
      </c>
      <c r="K130" s="4">
        <f t="shared" si="4"/>
        <v>1.832471924</v>
      </c>
      <c r="L130" s="4">
        <f t="shared" si="5"/>
        <v>1.754385965</v>
      </c>
      <c r="M130" s="4">
        <f t="shared" si="6"/>
        <v>0.04450899694</v>
      </c>
      <c r="N130" s="3" t="s">
        <v>27</v>
      </c>
    </row>
    <row r="131" ht="15.75" customHeight="1">
      <c r="A131" s="3" t="s">
        <v>26</v>
      </c>
      <c r="B131" s="3">
        <v>5.85222511E8</v>
      </c>
      <c r="C131" s="4">
        <v>57.198</v>
      </c>
      <c r="D131" s="4">
        <v>98.633</v>
      </c>
      <c r="E131" s="4">
        <v>62.986</v>
      </c>
      <c r="F131" s="5">
        <v>10.0</v>
      </c>
      <c r="G131" s="5">
        <v>5.7</v>
      </c>
      <c r="H131" s="4">
        <f t="shared" si="1"/>
        <v>5.799073332</v>
      </c>
      <c r="I131" s="4">
        <f t="shared" si="2"/>
        <v>5.176207411</v>
      </c>
      <c r="J131" s="4">
        <f t="shared" si="3"/>
        <v>5.487640372</v>
      </c>
      <c r="K131" s="4">
        <f t="shared" si="4"/>
        <v>1.565951164</v>
      </c>
      <c r="L131" s="4">
        <f t="shared" si="5"/>
        <v>1.754385965</v>
      </c>
      <c r="M131" s="4">
        <f t="shared" si="6"/>
        <v>-0.1074078367</v>
      </c>
      <c r="N131" s="3" t="s">
        <v>27</v>
      </c>
    </row>
    <row r="132" ht="15.75" customHeight="1">
      <c r="A132" s="12" t="s">
        <v>26</v>
      </c>
      <c r="B132" s="10">
        <v>2.50868071E8</v>
      </c>
      <c r="C132" s="9">
        <v>49.785</v>
      </c>
      <c r="D132" s="9">
        <v>76.569</v>
      </c>
      <c r="E132" s="9">
        <v>49.244</v>
      </c>
      <c r="F132" s="5">
        <v>10.0</v>
      </c>
      <c r="G132" s="5">
        <v>5.7</v>
      </c>
      <c r="H132" s="4">
        <f t="shared" si="1"/>
        <v>6.501978608</v>
      </c>
      <c r="I132" s="4">
        <f t="shared" si="2"/>
        <v>5.762620827</v>
      </c>
      <c r="J132" s="4">
        <f t="shared" si="3"/>
        <v>6.132299717</v>
      </c>
      <c r="K132" s="4">
        <f t="shared" si="4"/>
        <v>1.554889936</v>
      </c>
      <c r="L132" s="4">
        <f t="shared" si="5"/>
        <v>1.754385965</v>
      </c>
      <c r="M132" s="4">
        <f t="shared" si="6"/>
        <v>-0.1137127366</v>
      </c>
      <c r="N132" s="3" t="s">
        <v>27</v>
      </c>
    </row>
    <row r="133" ht="15.75" customHeight="1">
      <c r="A133" s="12" t="s">
        <v>26</v>
      </c>
      <c r="B133" s="10">
        <v>1.40926111E8</v>
      </c>
      <c r="C133" s="9">
        <v>51.539</v>
      </c>
      <c r="D133" s="9">
        <v>75.122</v>
      </c>
      <c r="E133" s="9">
        <v>49.159</v>
      </c>
      <c r="F133" s="5">
        <v>10.0</v>
      </c>
      <c r="G133" s="5">
        <v>5.7</v>
      </c>
      <c r="H133" s="4">
        <f t="shared" si="1"/>
        <v>6.860706584</v>
      </c>
      <c r="I133" s="4">
        <f t="shared" si="2"/>
        <v>5.975961675</v>
      </c>
      <c r="J133" s="4">
        <f t="shared" si="3"/>
        <v>6.41833413</v>
      </c>
      <c r="K133" s="4">
        <f t="shared" si="4"/>
        <v>1.528143372</v>
      </c>
      <c r="L133" s="4">
        <f t="shared" si="5"/>
        <v>1.754385965</v>
      </c>
      <c r="M133" s="4">
        <f t="shared" si="6"/>
        <v>-0.1289582782</v>
      </c>
      <c r="N133" s="3" t="s">
        <v>27</v>
      </c>
    </row>
    <row r="134" ht="15.75" customHeight="1">
      <c r="A134" s="3" t="s">
        <v>26</v>
      </c>
      <c r="B134" s="10">
        <v>6.29266131E8</v>
      </c>
      <c r="C134" s="9">
        <v>38.833</v>
      </c>
      <c r="D134" s="9">
        <v>70.907</v>
      </c>
      <c r="E134" s="9">
        <v>36.53</v>
      </c>
      <c r="F134" s="5">
        <v>10.0</v>
      </c>
      <c r="G134" s="5">
        <v>5.7</v>
      </c>
      <c r="H134" s="4">
        <f t="shared" si="1"/>
        <v>5.476610208</v>
      </c>
      <c r="I134" s="4">
        <f t="shared" si="2"/>
        <v>6.059351218</v>
      </c>
      <c r="J134" s="4">
        <f t="shared" si="3"/>
        <v>5.767980713</v>
      </c>
      <c r="K134" s="4">
        <f t="shared" si="4"/>
        <v>1.941062141</v>
      </c>
      <c r="L134" s="4">
        <f t="shared" si="5"/>
        <v>1.754385965</v>
      </c>
      <c r="M134" s="4">
        <f t="shared" si="6"/>
        <v>0.1064054202</v>
      </c>
      <c r="N134" s="3" t="s">
        <v>27</v>
      </c>
    </row>
    <row r="135" ht="15.75" customHeight="1">
      <c r="A135" s="3" t="s">
        <v>26</v>
      </c>
      <c r="B135" s="10">
        <v>1.24392491E8</v>
      </c>
      <c r="C135" s="9">
        <v>40.512</v>
      </c>
      <c r="D135" s="9">
        <v>70.912</v>
      </c>
      <c r="E135" s="9">
        <v>44.465</v>
      </c>
      <c r="F135" s="5">
        <v>10.0</v>
      </c>
      <c r="G135" s="5">
        <v>5.7</v>
      </c>
      <c r="H135" s="4">
        <f t="shared" si="1"/>
        <v>5.71299639</v>
      </c>
      <c r="I135" s="4">
        <f t="shared" si="2"/>
        <v>5.193262116</v>
      </c>
      <c r="J135" s="4">
        <f t="shared" si="3"/>
        <v>5.453129253</v>
      </c>
      <c r="K135" s="4">
        <f t="shared" si="4"/>
        <v>1.594782413</v>
      </c>
      <c r="L135" s="4">
        <f t="shared" si="5"/>
        <v>1.754385965</v>
      </c>
      <c r="M135" s="4">
        <f t="shared" si="6"/>
        <v>-0.09097402451</v>
      </c>
      <c r="N135" s="3" t="s">
        <v>27</v>
      </c>
    </row>
    <row r="136" ht="15.75" customHeight="1">
      <c r="A136" s="3" t="s">
        <v>28</v>
      </c>
      <c r="B136" s="3">
        <v>5.44941441E8</v>
      </c>
      <c r="C136" s="4">
        <v>26.759</v>
      </c>
      <c r="D136" s="4">
        <v>158.758</v>
      </c>
      <c r="E136" s="4">
        <v>50.717</v>
      </c>
      <c r="F136" s="5">
        <v>39.4</v>
      </c>
      <c r="G136" s="5">
        <v>12.0</v>
      </c>
      <c r="H136" s="4">
        <f t="shared" si="1"/>
        <v>6.640954157</v>
      </c>
      <c r="I136" s="4">
        <f t="shared" si="2"/>
        <v>6.33136818</v>
      </c>
      <c r="J136" s="4">
        <f t="shared" si="3"/>
        <v>6.486161168</v>
      </c>
      <c r="K136" s="4">
        <f t="shared" si="4"/>
        <v>3.130271901</v>
      </c>
      <c r="L136" s="4">
        <f t="shared" si="5"/>
        <v>3.283333333</v>
      </c>
      <c r="M136" s="4">
        <f t="shared" si="6"/>
        <v>-0.04661769515</v>
      </c>
      <c r="N136" s="3" t="s">
        <v>29</v>
      </c>
    </row>
    <row r="137" ht="15.75" customHeight="1">
      <c r="A137" s="6" t="s">
        <v>28</v>
      </c>
      <c r="B137" s="3">
        <v>6.17136776E8</v>
      </c>
      <c r="C137" s="4">
        <v>30.494</v>
      </c>
      <c r="D137" s="4">
        <v>202.964</v>
      </c>
      <c r="E137" s="4">
        <v>47.854</v>
      </c>
      <c r="F137" s="5">
        <v>39.4</v>
      </c>
      <c r="G137" s="5">
        <v>12.0</v>
      </c>
      <c r="H137" s="4">
        <f t="shared" si="1"/>
        <v>5.919589681</v>
      </c>
      <c r="I137" s="4">
        <f t="shared" si="2"/>
        <v>7.646758892</v>
      </c>
      <c r="J137" s="4">
        <f t="shared" si="3"/>
        <v>6.783174286</v>
      </c>
      <c r="K137" s="4">
        <f t="shared" si="4"/>
        <v>4.24131734</v>
      </c>
      <c r="L137" s="4">
        <f t="shared" si="5"/>
        <v>3.283333333</v>
      </c>
      <c r="M137" s="4">
        <f t="shared" si="6"/>
        <v>0.2917717788</v>
      </c>
      <c r="N137" s="3" t="s">
        <v>29</v>
      </c>
    </row>
    <row r="138" ht="15.75" customHeight="1">
      <c r="A138" s="3" t="s">
        <v>28</v>
      </c>
      <c r="B138" s="3">
        <v>6.30490443E8</v>
      </c>
      <c r="C138" s="4">
        <v>26.872</v>
      </c>
      <c r="D138" s="4">
        <v>189.84</v>
      </c>
      <c r="E138" s="4">
        <v>60.667</v>
      </c>
      <c r="F138" s="5">
        <v>39.4</v>
      </c>
      <c r="G138" s="5">
        <v>12.0</v>
      </c>
      <c r="H138" s="4">
        <f t="shared" si="1"/>
        <v>5.577100716</v>
      </c>
      <c r="I138" s="4">
        <f t="shared" si="2"/>
        <v>5.315311454</v>
      </c>
      <c r="J138" s="4">
        <f t="shared" si="3"/>
        <v>5.446206085</v>
      </c>
      <c r="K138" s="4">
        <f t="shared" si="4"/>
        <v>3.129213576</v>
      </c>
      <c r="L138" s="4">
        <f t="shared" si="5"/>
        <v>3.283333333</v>
      </c>
      <c r="M138" s="4">
        <f t="shared" si="6"/>
        <v>-0.04694002769</v>
      </c>
      <c r="N138" s="3" t="s">
        <v>29</v>
      </c>
    </row>
    <row r="139" ht="15.75" customHeight="1">
      <c r="A139" s="3" t="s">
        <v>28</v>
      </c>
      <c r="B139" s="3">
        <v>6.31486034E8</v>
      </c>
      <c r="C139" s="4">
        <v>30.513</v>
      </c>
      <c r="D139" s="4">
        <v>186.81</v>
      </c>
      <c r="E139" s="4">
        <v>58.517</v>
      </c>
      <c r="F139" s="5">
        <v>39.4</v>
      </c>
      <c r="G139" s="5">
        <v>12.0</v>
      </c>
      <c r="H139" s="4">
        <f t="shared" si="1"/>
        <v>6.43548097</v>
      </c>
      <c r="I139" s="4">
        <f t="shared" si="2"/>
        <v>6.257258574</v>
      </c>
      <c r="J139" s="4">
        <f t="shared" si="3"/>
        <v>6.346369772</v>
      </c>
      <c r="K139" s="4">
        <f t="shared" si="4"/>
        <v>3.192405626</v>
      </c>
      <c r="L139" s="4">
        <f t="shared" si="5"/>
        <v>3.283333333</v>
      </c>
      <c r="M139" s="4">
        <f t="shared" si="6"/>
        <v>-0.02769371806</v>
      </c>
      <c r="N139" s="3" t="s">
        <v>29</v>
      </c>
    </row>
    <row r="140" ht="15.75" customHeight="1">
      <c r="A140" s="3" t="s">
        <v>28</v>
      </c>
      <c r="B140" s="3">
        <v>6.41921161E8</v>
      </c>
      <c r="C140" s="4">
        <v>33.287</v>
      </c>
      <c r="D140" s="4">
        <v>203.5</v>
      </c>
      <c r="E140" s="4">
        <v>57.002</v>
      </c>
      <c r="F140" s="5">
        <v>39.4</v>
      </c>
      <c r="G140" s="5">
        <v>12.0</v>
      </c>
      <c r="H140" s="4">
        <f t="shared" si="1"/>
        <v>6.444755774</v>
      </c>
      <c r="I140" s="4">
        <f t="shared" si="2"/>
        <v>7.007543595</v>
      </c>
      <c r="J140" s="4">
        <f t="shared" si="3"/>
        <v>6.726149684</v>
      </c>
      <c r="K140" s="4">
        <f t="shared" si="4"/>
        <v>3.570050174</v>
      </c>
      <c r="L140" s="4">
        <f t="shared" si="5"/>
        <v>3.283333333</v>
      </c>
      <c r="M140" s="4">
        <f t="shared" si="6"/>
        <v>0.08732492599</v>
      </c>
      <c r="N140" s="3" t="s">
        <v>29</v>
      </c>
    </row>
    <row r="141" ht="15.75" customHeight="1">
      <c r="A141" s="6" t="s">
        <v>28</v>
      </c>
      <c r="B141" s="3">
        <v>2.04577371E8</v>
      </c>
      <c r="C141" s="4">
        <v>37.018</v>
      </c>
      <c r="D141" s="4">
        <v>157.064</v>
      </c>
      <c r="E141" s="4">
        <v>57.02</v>
      </c>
      <c r="F141" s="5">
        <v>39.4</v>
      </c>
      <c r="G141" s="5">
        <v>12.0</v>
      </c>
      <c r="H141" s="4">
        <f t="shared" si="1"/>
        <v>9.286082107</v>
      </c>
      <c r="I141" s="4">
        <f t="shared" si="2"/>
        <v>7.790529639</v>
      </c>
      <c r="J141" s="4">
        <f t="shared" si="3"/>
        <v>8.538305873</v>
      </c>
      <c r="K141" s="4">
        <f t="shared" si="4"/>
        <v>2.754542266</v>
      </c>
      <c r="L141" s="4">
        <f t="shared" si="5"/>
        <v>3.283333333</v>
      </c>
      <c r="M141" s="4">
        <f t="shared" si="6"/>
        <v>-0.161053117</v>
      </c>
      <c r="N141" s="3" t="s">
        <v>29</v>
      </c>
    </row>
    <row r="142" ht="15.75" customHeight="1">
      <c r="A142" s="3" t="s">
        <v>28</v>
      </c>
      <c r="B142" s="3">
        <v>2.05857341E8</v>
      </c>
      <c r="C142" s="4">
        <v>20.528</v>
      </c>
      <c r="D142" s="4">
        <v>148.637</v>
      </c>
      <c r="E142" s="4">
        <v>44.026</v>
      </c>
      <c r="F142" s="5">
        <v>39.4</v>
      </c>
      <c r="G142" s="5">
        <v>12.0</v>
      </c>
      <c r="H142" s="4">
        <f t="shared" si="1"/>
        <v>5.441466122</v>
      </c>
      <c r="I142" s="4">
        <f t="shared" si="2"/>
        <v>5.595239177</v>
      </c>
      <c r="J142" s="4">
        <f t="shared" si="3"/>
        <v>5.51835265</v>
      </c>
      <c r="K142" s="4">
        <f t="shared" si="4"/>
        <v>3.376118657</v>
      </c>
      <c r="L142" s="4">
        <f t="shared" si="5"/>
        <v>3.283333333</v>
      </c>
      <c r="M142" s="4">
        <f t="shared" si="6"/>
        <v>0.02825948949</v>
      </c>
      <c r="N142" s="3" t="s">
        <v>29</v>
      </c>
    </row>
    <row r="143" ht="15.75" customHeight="1">
      <c r="A143" s="3" t="s">
        <v>28</v>
      </c>
      <c r="B143" s="3">
        <v>5.42857021E8</v>
      </c>
      <c r="C143" s="4">
        <v>31.767</v>
      </c>
      <c r="D143" s="4">
        <v>204.539</v>
      </c>
      <c r="E143" s="4">
        <v>68.039</v>
      </c>
      <c r="F143" s="5">
        <v>39.4</v>
      </c>
      <c r="G143" s="5">
        <v>12.0</v>
      </c>
      <c r="H143" s="4">
        <f t="shared" si="1"/>
        <v>6.119223229</v>
      </c>
      <c r="I143" s="4">
        <f t="shared" si="2"/>
        <v>5.602727847</v>
      </c>
      <c r="J143" s="4">
        <f t="shared" si="3"/>
        <v>5.860975538</v>
      </c>
      <c r="K143" s="4">
        <f t="shared" si="4"/>
        <v>3.006202325</v>
      </c>
      <c r="L143" s="4">
        <f t="shared" si="5"/>
        <v>3.283333333</v>
      </c>
      <c r="M143" s="4">
        <f t="shared" si="6"/>
        <v>-0.08440538321</v>
      </c>
      <c r="N143" s="3" t="s">
        <v>29</v>
      </c>
    </row>
    <row r="144" ht="15.75" customHeight="1">
      <c r="A144" s="3" t="s">
        <v>28</v>
      </c>
      <c r="B144" s="3">
        <v>6.44268165E8</v>
      </c>
      <c r="C144" s="4">
        <v>33.287</v>
      </c>
      <c r="D144" s="4">
        <v>194.839</v>
      </c>
      <c r="E144" s="4">
        <v>63.008</v>
      </c>
      <c r="F144" s="5">
        <v>39.4</v>
      </c>
      <c r="G144" s="5">
        <v>12.0</v>
      </c>
      <c r="H144" s="4">
        <f t="shared" si="1"/>
        <v>6.731238612</v>
      </c>
      <c r="I144" s="4">
        <f t="shared" si="2"/>
        <v>6.339575927</v>
      </c>
      <c r="J144" s="4">
        <f t="shared" si="3"/>
        <v>6.53540727</v>
      </c>
      <c r="K144" s="4">
        <f t="shared" si="4"/>
        <v>3.092289868</v>
      </c>
      <c r="L144" s="4">
        <f t="shared" si="5"/>
        <v>3.283333333</v>
      </c>
      <c r="M144" s="4">
        <f t="shared" si="6"/>
        <v>-0.05818582702</v>
      </c>
      <c r="N144" s="3" t="s">
        <v>29</v>
      </c>
    </row>
    <row r="145" ht="15.75" customHeight="1">
      <c r="A145" s="3" t="s">
        <v>28</v>
      </c>
      <c r="B145" s="3">
        <v>2.99914251E8</v>
      </c>
      <c r="C145" s="4">
        <v>30.504</v>
      </c>
      <c r="D145" s="4">
        <v>167.739</v>
      </c>
      <c r="E145" s="4">
        <v>54.226</v>
      </c>
      <c r="F145" s="5">
        <v>39.4</v>
      </c>
      <c r="G145" s="5">
        <v>12.0</v>
      </c>
      <c r="H145" s="4">
        <f t="shared" si="1"/>
        <v>7.165045696</v>
      </c>
      <c r="I145" s="4">
        <f t="shared" si="2"/>
        <v>6.75041493</v>
      </c>
      <c r="J145" s="4">
        <f t="shared" si="3"/>
        <v>6.957730313</v>
      </c>
      <c r="K145" s="4">
        <f t="shared" si="4"/>
        <v>3.093331612</v>
      </c>
      <c r="L145" s="4">
        <f t="shared" si="5"/>
        <v>3.283333333</v>
      </c>
      <c r="M145" s="4">
        <f t="shared" si="6"/>
        <v>-0.05786854453</v>
      </c>
      <c r="N145" s="3" t="s">
        <v>29</v>
      </c>
    </row>
    <row r="146" ht="15.75" customHeight="1">
      <c r="A146" s="3" t="s">
        <v>28</v>
      </c>
      <c r="B146" s="3">
        <v>6.178455E8</v>
      </c>
      <c r="C146" s="4">
        <v>31.977</v>
      </c>
      <c r="D146" s="4">
        <v>198.434</v>
      </c>
      <c r="E146" s="4">
        <v>66.979</v>
      </c>
      <c r="F146" s="5">
        <v>39.4</v>
      </c>
      <c r="G146" s="5">
        <v>12.0</v>
      </c>
      <c r="H146" s="4">
        <f t="shared" si="1"/>
        <v>6.349183104</v>
      </c>
      <c r="I146" s="4">
        <f t="shared" si="2"/>
        <v>5.729019543</v>
      </c>
      <c r="J146" s="4">
        <f t="shared" si="3"/>
        <v>6.039101324</v>
      </c>
      <c r="K146" s="4">
        <f t="shared" si="4"/>
        <v>2.962630078</v>
      </c>
      <c r="L146" s="4">
        <f t="shared" si="5"/>
        <v>3.283333333</v>
      </c>
      <c r="M146" s="4">
        <f t="shared" si="6"/>
        <v>-0.09767611835</v>
      </c>
      <c r="N146" s="3" t="s">
        <v>29</v>
      </c>
    </row>
    <row r="147" ht="15.75" customHeight="1">
      <c r="A147" s="3" t="s">
        <v>28</v>
      </c>
      <c r="B147" s="3">
        <v>5.37401521E8</v>
      </c>
      <c r="C147" s="4">
        <v>30.815</v>
      </c>
      <c r="D147" s="4">
        <v>206.401</v>
      </c>
      <c r="E147" s="4">
        <v>59.634</v>
      </c>
      <c r="F147" s="5">
        <v>39.4</v>
      </c>
      <c r="G147" s="5">
        <v>12.0</v>
      </c>
      <c r="H147" s="4">
        <f t="shared" si="1"/>
        <v>5.882292237</v>
      </c>
      <c r="I147" s="4">
        <f t="shared" si="2"/>
        <v>6.200825033</v>
      </c>
      <c r="J147" s="4">
        <f t="shared" si="3"/>
        <v>6.041558635</v>
      </c>
      <c r="K147" s="4">
        <f t="shared" si="4"/>
        <v>3.461129557</v>
      </c>
      <c r="L147" s="4">
        <f t="shared" si="5"/>
        <v>3.283333333</v>
      </c>
      <c r="M147" s="4">
        <f t="shared" si="6"/>
        <v>0.0541511341</v>
      </c>
      <c r="N147" s="3" t="s">
        <v>29</v>
      </c>
    </row>
    <row r="148" ht="15.75" customHeight="1">
      <c r="A148" s="2" t="s">
        <v>28</v>
      </c>
      <c r="B148" s="3">
        <v>6.02616471E8</v>
      </c>
      <c r="C148" s="4">
        <v>29.732</v>
      </c>
      <c r="D148" s="4">
        <v>150.007</v>
      </c>
      <c r="E148" s="4">
        <v>52.07</v>
      </c>
      <c r="F148" s="5">
        <v>39.4</v>
      </c>
      <c r="G148" s="5">
        <v>12.0</v>
      </c>
      <c r="H148" s="4">
        <f t="shared" si="1"/>
        <v>7.809240902</v>
      </c>
      <c r="I148" s="4">
        <f t="shared" si="2"/>
        <v>6.852006914</v>
      </c>
      <c r="J148" s="4">
        <f t="shared" si="3"/>
        <v>7.330623908</v>
      </c>
      <c r="K148" s="4">
        <f t="shared" si="4"/>
        <v>2.880871903</v>
      </c>
      <c r="L148" s="4">
        <f t="shared" si="5"/>
        <v>3.283333333</v>
      </c>
      <c r="M148" s="4">
        <f t="shared" si="6"/>
        <v>-0.1225770853</v>
      </c>
      <c r="N148" s="3" t="s">
        <v>29</v>
      </c>
    </row>
    <row r="149" ht="15.75" customHeight="1">
      <c r="A149" s="2" t="s">
        <v>28</v>
      </c>
      <c r="B149" s="3">
        <v>2.24725671E8</v>
      </c>
      <c r="C149" s="4">
        <v>31.853</v>
      </c>
      <c r="D149" s="4">
        <v>199.249</v>
      </c>
      <c r="E149" s="4">
        <v>69.057</v>
      </c>
      <c r="F149" s="5">
        <v>39.4</v>
      </c>
      <c r="G149" s="5">
        <v>12.0</v>
      </c>
      <c r="H149" s="4">
        <f t="shared" si="1"/>
        <v>6.298692591</v>
      </c>
      <c r="I149" s="4">
        <f t="shared" si="2"/>
        <v>5.535079717</v>
      </c>
      <c r="J149" s="4">
        <f t="shared" si="3"/>
        <v>5.916886154</v>
      </c>
      <c r="K149" s="4">
        <f t="shared" si="4"/>
        <v>2.885283172</v>
      </c>
      <c r="L149" s="4">
        <f t="shared" si="5"/>
        <v>3.283333333</v>
      </c>
      <c r="M149" s="4">
        <f t="shared" si="6"/>
        <v>-0.1212335517</v>
      </c>
      <c r="N149" s="3" t="s">
        <v>29</v>
      </c>
    </row>
    <row r="150" ht="15.75" customHeight="1">
      <c r="A150" s="3" t="s">
        <v>28</v>
      </c>
      <c r="B150" s="10">
        <v>6.36342742E8</v>
      </c>
      <c r="C150" s="9">
        <v>34.507</v>
      </c>
      <c r="D150" s="9">
        <v>206.42</v>
      </c>
      <c r="E150" s="9">
        <v>68.226</v>
      </c>
      <c r="F150" s="5">
        <v>39.4</v>
      </c>
      <c r="G150" s="5">
        <v>12.0</v>
      </c>
      <c r="H150" s="4">
        <f t="shared" si="1"/>
        <v>6.586453832</v>
      </c>
      <c r="I150" s="4">
        <f t="shared" si="2"/>
        <v>6.069299094</v>
      </c>
      <c r="J150" s="4">
        <f t="shared" si="3"/>
        <v>6.327876463</v>
      </c>
      <c r="K150" s="4">
        <f t="shared" si="4"/>
        <v>3.025532788</v>
      </c>
      <c r="L150" s="4">
        <f t="shared" si="5"/>
        <v>3.283333333</v>
      </c>
      <c r="M150" s="4">
        <f t="shared" si="6"/>
        <v>-0.07851793256</v>
      </c>
      <c r="N150" s="3" t="s">
        <v>29</v>
      </c>
    </row>
    <row r="151" ht="15.75" customHeight="1">
      <c r="A151" s="3" t="s">
        <v>28</v>
      </c>
      <c r="B151" s="10">
        <v>6.29993511E8</v>
      </c>
      <c r="C151" s="9">
        <v>28.882</v>
      </c>
      <c r="D151" s="9">
        <v>176.501</v>
      </c>
      <c r="E151" s="9">
        <v>58.21</v>
      </c>
      <c r="F151" s="5">
        <v>39.4</v>
      </c>
      <c r="G151" s="5">
        <v>12.0</v>
      </c>
      <c r="H151" s="4">
        <f t="shared" si="1"/>
        <v>6.447276786</v>
      </c>
      <c r="I151" s="4">
        <f t="shared" si="2"/>
        <v>5.954028517</v>
      </c>
      <c r="J151" s="4">
        <f t="shared" si="3"/>
        <v>6.200652652</v>
      </c>
      <c r="K151" s="4">
        <f t="shared" si="4"/>
        <v>3.032142244</v>
      </c>
      <c r="L151" s="4">
        <f t="shared" si="5"/>
        <v>3.283333333</v>
      </c>
      <c r="M151" s="4">
        <f t="shared" si="6"/>
        <v>-0.07650490043</v>
      </c>
      <c r="N151" s="3" t="s">
        <v>29</v>
      </c>
    </row>
    <row r="152" ht="15.75" customHeight="1">
      <c r="A152" s="3" t="s">
        <v>28</v>
      </c>
      <c r="B152" s="9">
        <v>6.33004156E8</v>
      </c>
      <c r="C152" s="9">
        <v>34.426</v>
      </c>
      <c r="D152" s="9">
        <v>164.488</v>
      </c>
      <c r="E152" s="9">
        <v>55.159</v>
      </c>
      <c r="F152" s="5">
        <v>39.4</v>
      </c>
      <c r="G152" s="5">
        <v>12.0</v>
      </c>
      <c r="H152" s="4">
        <f t="shared" si="1"/>
        <v>8.246099412</v>
      </c>
      <c r="I152" s="4">
        <f t="shared" si="2"/>
        <v>7.489475879</v>
      </c>
      <c r="J152" s="4">
        <f t="shared" si="3"/>
        <v>7.867787645</v>
      </c>
      <c r="K152" s="4">
        <f t="shared" si="4"/>
        <v>2.982070016</v>
      </c>
      <c r="L152" s="4">
        <f t="shared" si="5"/>
        <v>3.283333333</v>
      </c>
      <c r="M152" s="4">
        <f t="shared" si="6"/>
        <v>-0.09175532515</v>
      </c>
      <c r="N152" s="3" t="s">
        <v>29</v>
      </c>
    </row>
    <row r="153" ht="15.75" customHeight="1">
      <c r="A153" s="3" t="s">
        <v>28</v>
      </c>
      <c r="B153" s="10">
        <v>7.5204561E7</v>
      </c>
      <c r="C153" s="9">
        <v>31.092</v>
      </c>
      <c r="D153" s="9">
        <v>167.249</v>
      </c>
      <c r="E153" s="9">
        <v>49.097</v>
      </c>
      <c r="F153" s="5">
        <v>39.4</v>
      </c>
      <c r="G153" s="5">
        <v>12.0</v>
      </c>
      <c r="H153" s="4">
        <f t="shared" si="1"/>
        <v>7.324556799</v>
      </c>
      <c r="I153" s="4">
        <f t="shared" si="2"/>
        <v>7.599323788</v>
      </c>
      <c r="J153" s="4">
        <f t="shared" si="3"/>
        <v>7.461940293</v>
      </c>
      <c r="K153" s="4">
        <f t="shared" si="4"/>
        <v>3.406501416</v>
      </c>
      <c r="L153" s="4">
        <f t="shared" si="5"/>
        <v>3.283333333</v>
      </c>
      <c r="M153" s="4">
        <f t="shared" si="6"/>
        <v>0.03751312149</v>
      </c>
      <c r="N153" s="3" t="s">
        <v>29</v>
      </c>
    </row>
    <row r="154" ht="15.75" customHeight="1">
      <c r="A154" s="3" t="s">
        <v>28</v>
      </c>
      <c r="B154" s="10">
        <v>5.7379451E7</v>
      </c>
      <c r="C154" s="9">
        <v>39.337</v>
      </c>
      <c r="D154" s="9">
        <v>202.856</v>
      </c>
      <c r="E154" s="9">
        <v>57.467</v>
      </c>
      <c r="F154" s="5">
        <v>39.4</v>
      </c>
      <c r="G154" s="5">
        <v>12.0</v>
      </c>
      <c r="H154" s="4">
        <f t="shared" si="1"/>
        <v>7.64028572</v>
      </c>
      <c r="I154" s="4">
        <f t="shared" si="2"/>
        <v>8.214175092</v>
      </c>
      <c r="J154" s="4">
        <f t="shared" si="3"/>
        <v>7.927230406</v>
      </c>
      <c r="K154" s="4">
        <f t="shared" si="4"/>
        <v>3.529956323</v>
      </c>
      <c r="L154" s="4">
        <f t="shared" si="5"/>
        <v>3.283333333</v>
      </c>
      <c r="M154" s="4">
        <f t="shared" si="6"/>
        <v>0.07511360084</v>
      </c>
      <c r="N154" s="3" t="s">
        <v>29</v>
      </c>
    </row>
    <row r="155" ht="15.75" customHeight="1">
      <c r="A155" s="2" t="s">
        <v>30</v>
      </c>
      <c r="B155" s="3">
        <v>6.31704221E8</v>
      </c>
      <c r="C155" s="4">
        <v>29.415</v>
      </c>
      <c r="D155" s="4">
        <v>61.588</v>
      </c>
      <c r="E155" s="4">
        <v>43.701</v>
      </c>
      <c r="F155" s="5">
        <v>14.9</v>
      </c>
      <c r="G155" s="5">
        <v>9.1</v>
      </c>
      <c r="H155" s="4">
        <f t="shared" si="1"/>
        <v>7.116378191</v>
      </c>
      <c r="I155" s="4">
        <f t="shared" si="2"/>
        <v>6.125180202</v>
      </c>
      <c r="J155" s="4">
        <f t="shared" si="3"/>
        <v>6.620779196</v>
      </c>
      <c r="K155" s="4">
        <f t="shared" si="4"/>
        <v>1.409304135</v>
      </c>
      <c r="L155" s="4">
        <f t="shared" si="5"/>
        <v>1.637362637</v>
      </c>
      <c r="M155" s="4">
        <f t="shared" si="6"/>
        <v>-0.1392840518</v>
      </c>
      <c r="N155" s="3" t="s">
        <v>31</v>
      </c>
    </row>
    <row r="156" ht="15.75" customHeight="1">
      <c r="A156" s="3" t="s">
        <v>30</v>
      </c>
      <c r="B156" s="3">
        <v>3.8442581E7</v>
      </c>
      <c r="C156" s="4">
        <v>35.089</v>
      </c>
      <c r="D156" s="4">
        <v>76.8</v>
      </c>
      <c r="E156" s="4">
        <v>51.171</v>
      </c>
      <c r="F156" s="5">
        <v>14.9</v>
      </c>
      <c r="G156" s="5">
        <v>9.1</v>
      </c>
      <c r="H156" s="4">
        <f t="shared" si="1"/>
        <v>6.80763151</v>
      </c>
      <c r="I156" s="4">
        <f t="shared" si="2"/>
        <v>6.240055891</v>
      </c>
      <c r="J156" s="4">
        <f t="shared" si="3"/>
        <v>6.523843701</v>
      </c>
      <c r="K156" s="4">
        <f t="shared" si="4"/>
        <v>1.500850091</v>
      </c>
      <c r="L156" s="4">
        <f t="shared" si="5"/>
        <v>1.637362637</v>
      </c>
      <c r="M156" s="4">
        <f t="shared" si="6"/>
        <v>-0.08337343443</v>
      </c>
      <c r="N156" s="3" t="s">
        <v>31</v>
      </c>
    </row>
    <row r="157" ht="15.75" customHeight="1">
      <c r="A157" s="2" t="s">
        <v>30</v>
      </c>
      <c r="B157" s="3">
        <v>1.49962091E8</v>
      </c>
      <c r="C157" s="4">
        <v>34.41</v>
      </c>
      <c r="D157" s="4">
        <v>63.425</v>
      </c>
      <c r="E157" s="4">
        <v>44.619</v>
      </c>
      <c r="F157" s="5">
        <v>14.9</v>
      </c>
      <c r="G157" s="5">
        <v>9.1</v>
      </c>
      <c r="H157" s="4">
        <f t="shared" si="1"/>
        <v>8.083705164</v>
      </c>
      <c r="I157" s="4">
        <f t="shared" si="2"/>
        <v>7.017884758</v>
      </c>
      <c r="J157" s="4">
        <f t="shared" si="3"/>
        <v>7.550794961</v>
      </c>
      <c r="K157" s="4">
        <f t="shared" si="4"/>
        <v>1.421479639</v>
      </c>
      <c r="L157" s="4">
        <f t="shared" si="5"/>
        <v>1.637362637</v>
      </c>
      <c r="M157" s="4">
        <f t="shared" si="6"/>
        <v>-0.1318480059</v>
      </c>
      <c r="N157" s="3" t="s">
        <v>31</v>
      </c>
    </row>
    <row r="158" ht="15.75" customHeight="1">
      <c r="A158" s="6" t="s">
        <v>30</v>
      </c>
      <c r="B158" s="3">
        <v>4.62634651E8</v>
      </c>
      <c r="C158" s="4">
        <v>27.005</v>
      </c>
      <c r="D158" s="4">
        <v>42.255</v>
      </c>
      <c r="E158" s="4">
        <v>35.957</v>
      </c>
      <c r="F158" s="5">
        <v>14.9</v>
      </c>
      <c r="G158" s="5">
        <v>9.1</v>
      </c>
      <c r="H158" s="4">
        <f t="shared" si="1"/>
        <v>9.522529878</v>
      </c>
      <c r="I158" s="4">
        <f t="shared" si="2"/>
        <v>6.834427233</v>
      </c>
      <c r="J158" s="4">
        <f t="shared" si="3"/>
        <v>8.178478555</v>
      </c>
      <c r="K158" s="4">
        <f t="shared" si="4"/>
        <v>1.175153656</v>
      </c>
      <c r="L158" s="4">
        <f t="shared" si="5"/>
        <v>1.637362637</v>
      </c>
      <c r="M158" s="4">
        <f t="shared" si="6"/>
        <v>-0.2822887069</v>
      </c>
      <c r="N158" s="3" t="s">
        <v>31</v>
      </c>
    </row>
    <row r="159" ht="15.75" customHeight="1">
      <c r="A159" s="3" t="s">
        <v>30</v>
      </c>
      <c r="B159" s="3">
        <v>6.20583956E8</v>
      </c>
      <c r="C159" s="4">
        <v>21.672</v>
      </c>
      <c r="D159" s="4">
        <v>40.562</v>
      </c>
      <c r="E159" s="4">
        <v>27.755</v>
      </c>
      <c r="F159" s="5">
        <v>14.9</v>
      </c>
      <c r="G159" s="5">
        <v>9.1</v>
      </c>
      <c r="H159" s="4">
        <f t="shared" si="1"/>
        <v>7.960968394</v>
      </c>
      <c r="I159" s="4">
        <f t="shared" si="2"/>
        <v>7.10557377</v>
      </c>
      <c r="J159" s="4">
        <f t="shared" si="3"/>
        <v>7.533271082</v>
      </c>
      <c r="K159" s="4">
        <f t="shared" si="4"/>
        <v>1.461430373</v>
      </c>
      <c r="L159" s="4">
        <f t="shared" si="5"/>
        <v>1.637362637</v>
      </c>
      <c r="M159" s="4">
        <f t="shared" si="6"/>
        <v>-0.1074485642</v>
      </c>
      <c r="N159" s="3" t="s">
        <v>31</v>
      </c>
    </row>
    <row r="160" ht="15.75" customHeight="1">
      <c r="A160" s="3" t="s">
        <v>30</v>
      </c>
      <c r="B160" s="3">
        <v>6.3542917E8</v>
      </c>
      <c r="C160" s="4">
        <v>18.983</v>
      </c>
      <c r="D160" s="4">
        <v>44.177</v>
      </c>
      <c r="E160" s="4">
        <v>29.641</v>
      </c>
      <c r="F160" s="5">
        <v>14.9</v>
      </c>
      <c r="G160" s="5">
        <v>9.1</v>
      </c>
      <c r="H160" s="4">
        <f t="shared" si="1"/>
        <v>6.402578265</v>
      </c>
      <c r="I160" s="4">
        <f t="shared" si="2"/>
        <v>5.827917412</v>
      </c>
      <c r="J160" s="4">
        <f t="shared" si="3"/>
        <v>6.115247838</v>
      </c>
      <c r="K160" s="4">
        <f t="shared" si="4"/>
        <v>1.490401808</v>
      </c>
      <c r="L160" s="4">
        <f t="shared" si="5"/>
        <v>1.637362637</v>
      </c>
      <c r="M160" s="4">
        <f t="shared" si="6"/>
        <v>-0.0897546003</v>
      </c>
      <c r="N160" s="3" t="s">
        <v>31</v>
      </c>
    </row>
    <row r="161" ht="15.75" customHeight="1">
      <c r="A161" s="2" t="s">
        <v>30</v>
      </c>
      <c r="B161" s="3">
        <v>1.33037511E8</v>
      </c>
      <c r="C161" s="4">
        <v>38.899</v>
      </c>
      <c r="D161" s="4">
        <v>77.935</v>
      </c>
      <c r="E161" s="4">
        <v>55.334</v>
      </c>
      <c r="F161" s="5">
        <v>14.9</v>
      </c>
      <c r="G161" s="5">
        <v>9.1</v>
      </c>
      <c r="H161" s="4">
        <f t="shared" si="1"/>
        <v>7.43690383</v>
      </c>
      <c r="I161" s="4">
        <f t="shared" si="2"/>
        <v>6.397168106</v>
      </c>
      <c r="J161" s="4">
        <f t="shared" si="3"/>
        <v>6.917035968</v>
      </c>
      <c r="K161" s="4">
        <f t="shared" si="4"/>
        <v>1.408446886</v>
      </c>
      <c r="L161" s="4">
        <f t="shared" si="5"/>
        <v>1.637362637</v>
      </c>
      <c r="M161" s="4">
        <f t="shared" si="6"/>
        <v>-0.1398076064</v>
      </c>
      <c r="N161" s="3" t="s">
        <v>31</v>
      </c>
    </row>
    <row r="162" ht="15.75" customHeight="1">
      <c r="A162" s="6" t="s">
        <v>30</v>
      </c>
      <c r="B162" s="3">
        <v>6.19769211E8</v>
      </c>
      <c r="C162" s="4">
        <v>28.789</v>
      </c>
      <c r="D162" s="4">
        <v>50.315</v>
      </c>
      <c r="E162" s="4">
        <v>37.28</v>
      </c>
      <c r="F162" s="5">
        <v>14.9</v>
      </c>
      <c r="G162" s="5">
        <v>9.1</v>
      </c>
      <c r="H162" s="4">
        <f t="shared" si="1"/>
        <v>8.525411905</v>
      </c>
      <c r="I162" s="4">
        <f t="shared" si="2"/>
        <v>7.027357833</v>
      </c>
      <c r="J162" s="4">
        <f t="shared" si="3"/>
        <v>7.776384869</v>
      </c>
      <c r="K162" s="4">
        <f t="shared" si="4"/>
        <v>1.349651288</v>
      </c>
      <c r="L162" s="4">
        <f t="shared" si="5"/>
        <v>1.637362637</v>
      </c>
      <c r="M162" s="4">
        <f t="shared" si="6"/>
        <v>-0.1757163277</v>
      </c>
      <c r="N162" s="3" t="s">
        <v>31</v>
      </c>
    </row>
    <row r="163" ht="15.75" customHeight="1">
      <c r="A163" s="2" t="s">
        <v>30</v>
      </c>
      <c r="B163" s="3">
        <v>3.16143681E8</v>
      </c>
      <c r="C163" s="4">
        <v>24.137</v>
      </c>
      <c r="D163" s="4">
        <v>46.099</v>
      </c>
      <c r="E163" s="4">
        <v>33.501</v>
      </c>
      <c r="F163" s="5">
        <v>14.9</v>
      </c>
      <c r="G163" s="5">
        <v>9.1</v>
      </c>
      <c r="H163" s="4">
        <f t="shared" si="1"/>
        <v>7.801498948</v>
      </c>
      <c r="I163" s="4">
        <f t="shared" si="2"/>
        <v>6.556422196</v>
      </c>
      <c r="J163" s="4">
        <f t="shared" si="3"/>
        <v>7.178960572</v>
      </c>
      <c r="K163" s="4">
        <f t="shared" si="4"/>
        <v>1.376048476</v>
      </c>
      <c r="L163" s="4">
        <f t="shared" si="5"/>
        <v>1.637362637</v>
      </c>
      <c r="M163" s="4">
        <f t="shared" si="6"/>
        <v>-0.1595945548</v>
      </c>
      <c r="N163" s="3" t="s">
        <v>31</v>
      </c>
    </row>
    <row r="164" ht="15.75" customHeight="1">
      <c r="A164" s="3" t="s">
        <v>30</v>
      </c>
      <c r="B164" s="3">
        <v>4.49487121E8</v>
      </c>
      <c r="C164" s="4">
        <v>30.787</v>
      </c>
      <c r="D164" s="4">
        <v>52.942</v>
      </c>
      <c r="E164" s="4">
        <v>35.006</v>
      </c>
      <c r="F164" s="5">
        <v>14.9</v>
      </c>
      <c r="G164" s="5">
        <v>9.1</v>
      </c>
      <c r="H164" s="4">
        <f t="shared" si="1"/>
        <v>8.664695327</v>
      </c>
      <c r="I164" s="4">
        <f t="shared" si="2"/>
        <v>8.003248015</v>
      </c>
      <c r="J164" s="4">
        <f t="shared" si="3"/>
        <v>8.333971671</v>
      </c>
      <c r="K164" s="4">
        <f t="shared" si="4"/>
        <v>1.512369308</v>
      </c>
      <c r="L164" s="4">
        <f t="shared" si="5"/>
        <v>1.637362637</v>
      </c>
      <c r="M164" s="4">
        <f t="shared" si="6"/>
        <v>-0.07633820779</v>
      </c>
      <c r="N164" s="3" t="s">
        <v>31</v>
      </c>
    </row>
    <row r="165" ht="15.75" customHeight="1">
      <c r="A165" s="2" t="s">
        <v>30</v>
      </c>
      <c r="B165" s="3">
        <v>6.14380481E8</v>
      </c>
      <c r="C165" s="4">
        <v>25.368</v>
      </c>
      <c r="D165" s="4">
        <v>52.021</v>
      </c>
      <c r="E165" s="4">
        <v>37.074</v>
      </c>
      <c r="F165" s="5">
        <v>14.9</v>
      </c>
      <c r="G165" s="5">
        <v>9.1</v>
      </c>
      <c r="H165" s="4">
        <f t="shared" si="1"/>
        <v>7.265973357</v>
      </c>
      <c r="I165" s="4">
        <f t="shared" si="2"/>
        <v>6.22670335</v>
      </c>
      <c r="J165" s="4">
        <f t="shared" si="3"/>
        <v>6.746338353</v>
      </c>
      <c r="K165" s="4">
        <f t="shared" si="4"/>
        <v>1.40316664</v>
      </c>
      <c r="L165" s="4">
        <f t="shared" si="5"/>
        <v>1.637362637</v>
      </c>
      <c r="M165" s="4">
        <f t="shared" si="6"/>
        <v>-0.143032455</v>
      </c>
      <c r="N165" s="3" t="s">
        <v>31</v>
      </c>
    </row>
    <row r="166" ht="15.75" customHeight="1">
      <c r="A166" s="2" t="s">
        <v>30</v>
      </c>
      <c r="B166" s="3">
        <v>1.53088771E8</v>
      </c>
      <c r="C166" s="4">
        <v>31.021</v>
      </c>
      <c r="D166" s="4">
        <v>61.388</v>
      </c>
      <c r="E166" s="4">
        <v>43.285</v>
      </c>
      <c r="F166" s="5">
        <v>14.9</v>
      </c>
      <c r="G166" s="5">
        <v>9.1</v>
      </c>
      <c r="H166" s="4">
        <f t="shared" si="1"/>
        <v>7.529368932</v>
      </c>
      <c r="I166" s="4">
        <f t="shared" si="2"/>
        <v>6.521684186</v>
      </c>
      <c r="J166" s="4">
        <f t="shared" si="3"/>
        <v>7.025526559</v>
      </c>
      <c r="K166" s="4">
        <f t="shared" si="4"/>
        <v>1.418228024</v>
      </c>
      <c r="L166" s="4">
        <f t="shared" si="5"/>
        <v>1.637362637</v>
      </c>
      <c r="M166" s="4">
        <f t="shared" si="6"/>
        <v>-0.1338338916</v>
      </c>
      <c r="N166" s="3" t="s">
        <v>31</v>
      </c>
    </row>
    <row r="167" ht="15.75" customHeight="1">
      <c r="A167" s="6" t="s">
        <v>30</v>
      </c>
      <c r="B167" s="3">
        <v>6.38355307E8</v>
      </c>
      <c r="C167" s="4">
        <v>34.504</v>
      </c>
      <c r="D167" s="4">
        <v>72.932</v>
      </c>
      <c r="E167" s="4">
        <v>57.191</v>
      </c>
      <c r="F167" s="5">
        <v>14.9</v>
      </c>
      <c r="G167" s="5">
        <v>9.1</v>
      </c>
      <c r="H167" s="4">
        <f t="shared" si="1"/>
        <v>7.049163604</v>
      </c>
      <c r="I167" s="4">
        <f t="shared" si="2"/>
        <v>5.49013656</v>
      </c>
      <c r="J167" s="4">
        <f t="shared" si="3"/>
        <v>6.269650082</v>
      </c>
      <c r="K167" s="4">
        <f t="shared" si="4"/>
        <v>1.275235614</v>
      </c>
      <c r="L167" s="4">
        <f t="shared" si="5"/>
        <v>1.637362637</v>
      </c>
      <c r="M167" s="4">
        <f t="shared" si="6"/>
        <v>-0.2211648264</v>
      </c>
      <c r="N167" s="3" t="s">
        <v>31</v>
      </c>
    </row>
    <row r="168" ht="15.75" customHeight="1">
      <c r="A168" s="3" t="s">
        <v>30</v>
      </c>
      <c r="B168" s="3">
        <v>2.33310481E8</v>
      </c>
      <c r="C168" s="4">
        <v>29.523</v>
      </c>
      <c r="D168" s="4">
        <v>62.143</v>
      </c>
      <c r="E168" s="4">
        <v>41.858</v>
      </c>
      <c r="F168" s="5">
        <v>14.9</v>
      </c>
      <c r="G168" s="5">
        <v>9.1</v>
      </c>
      <c r="H168" s="4">
        <f t="shared" si="1"/>
        <v>7.078716831</v>
      </c>
      <c r="I168" s="4">
        <f t="shared" si="2"/>
        <v>6.418350136</v>
      </c>
      <c r="J168" s="4">
        <f t="shared" si="3"/>
        <v>6.748533483</v>
      </c>
      <c r="K168" s="4">
        <f t="shared" si="4"/>
        <v>1.48461465</v>
      </c>
      <c r="L168" s="4">
        <f t="shared" si="5"/>
        <v>1.637362637</v>
      </c>
      <c r="M168" s="4">
        <f t="shared" si="6"/>
        <v>-0.09328903955</v>
      </c>
      <c r="N168" s="3" t="s">
        <v>31</v>
      </c>
    </row>
    <row r="169" ht="15.75" customHeight="1">
      <c r="A169" s="2" t="s">
        <v>30</v>
      </c>
      <c r="B169" s="3">
        <v>1.14337011E8</v>
      </c>
      <c r="C169" s="4">
        <v>28.462</v>
      </c>
      <c r="D169" s="4">
        <v>62.959</v>
      </c>
      <c r="E169" s="4">
        <v>44.006</v>
      </c>
      <c r="F169" s="5">
        <v>14.9</v>
      </c>
      <c r="G169" s="5">
        <v>9.1</v>
      </c>
      <c r="H169" s="4">
        <f t="shared" si="1"/>
        <v>6.735872552</v>
      </c>
      <c r="I169" s="4">
        <f t="shared" si="2"/>
        <v>5.885656501</v>
      </c>
      <c r="J169" s="4">
        <f t="shared" si="3"/>
        <v>6.310764527</v>
      </c>
      <c r="K169" s="4">
        <f t="shared" si="4"/>
        <v>1.430691269</v>
      </c>
      <c r="L169" s="4">
        <f t="shared" si="5"/>
        <v>1.637362637</v>
      </c>
      <c r="M169" s="4">
        <f t="shared" si="6"/>
        <v>-0.1262221107</v>
      </c>
      <c r="N169" s="3" t="s">
        <v>31</v>
      </c>
    </row>
    <row r="170" ht="15.75" customHeight="1">
      <c r="A170" s="12" t="s">
        <v>30</v>
      </c>
      <c r="B170" s="10">
        <v>6.33536819E8</v>
      </c>
      <c r="C170" s="9">
        <v>37.974</v>
      </c>
      <c r="D170" s="9">
        <v>60.237</v>
      </c>
      <c r="E170" s="9">
        <v>41.752</v>
      </c>
      <c r="F170" s="5">
        <v>14.9</v>
      </c>
      <c r="G170" s="5">
        <v>9.1</v>
      </c>
      <c r="H170" s="4">
        <f t="shared" si="1"/>
        <v>9.393107226</v>
      </c>
      <c r="I170" s="4">
        <f t="shared" si="2"/>
        <v>8.276571182</v>
      </c>
      <c r="J170" s="4">
        <f t="shared" si="3"/>
        <v>8.834839204</v>
      </c>
      <c r="K170" s="4">
        <f t="shared" si="4"/>
        <v>1.442733282</v>
      </c>
      <c r="L170" s="4">
        <f t="shared" si="5"/>
        <v>1.637362637</v>
      </c>
      <c r="M170" s="4">
        <f t="shared" si="6"/>
        <v>-0.1188675927</v>
      </c>
      <c r="N170" s="3" t="s">
        <v>31</v>
      </c>
    </row>
    <row r="171" ht="15.75" customHeight="1">
      <c r="A171" s="3" t="s">
        <v>30</v>
      </c>
      <c r="B171" s="10">
        <v>6.17644017E8</v>
      </c>
      <c r="C171" s="9">
        <v>45.302</v>
      </c>
      <c r="D171" s="9">
        <v>78.174</v>
      </c>
      <c r="E171" s="9">
        <v>49.738</v>
      </c>
      <c r="F171" s="5">
        <v>14.9</v>
      </c>
      <c r="G171" s="5">
        <v>9.1</v>
      </c>
      <c r="H171" s="4">
        <f t="shared" si="1"/>
        <v>8.63458183</v>
      </c>
      <c r="I171" s="4">
        <f t="shared" si="2"/>
        <v>8.288395191</v>
      </c>
      <c r="J171" s="4">
        <f t="shared" si="3"/>
        <v>8.461488511</v>
      </c>
      <c r="K171" s="4">
        <f t="shared" si="4"/>
        <v>1.571715791</v>
      </c>
      <c r="L171" s="4">
        <f t="shared" si="5"/>
        <v>1.637362637</v>
      </c>
      <c r="M171" s="4">
        <f t="shared" si="6"/>
        <v>-0.04009304055</v>
      </c>
      <c r="N171" s="3" t="s">
        <v>31</v>
      </c>
    </row>
    <row r="172" ht="15.75" customHeight="1">
      <c r="A172" s="12" t="s">
        <v>30</v>
      </c>
      <c r="B172" s="10">
        <v>6.1290329E8</v>
      </c>
      <c r="C172" s="9">
        <v>50.804</v>
      </c>
      <c r="D172" s="9">
        <v>68.128</v>
      </c>
      <c r="E172" s="9">
        <v>47.621</v>
      </c>
      <c r="F172" s="5">
        <v>14.9</v>
      </c>
      <c r="G172" s="5">
        <v>9.1</v>
      </c>
      <c r="H172" s="4">
        <f t="shared" si="1"/>
        <v>11.11113786</v>
      </c>
      <c r="I172" s="4">
        <f t="shared" si="2"/>
        <v>9.708246362</v>
      </c>
      <c r="J172" s="4">
        <f t="shared" si="3"/>
        <v>10.40969211</v>
      </c>
      <c r="K172" s="4">
        <f t="shared" si="4"/>
        <v>1.430629344</v>
      </c>
      <c r="L172" s="4">
        <f t="shared" si="5"/>
        <v>1.637362637</v>
      </c>
      <c r="M172" s="4">
        <f t="shared" si="6"/>
        <v>-0.1262599307</v>
      </c>
      <c r="N172" s="3" t="s">
        <v>31</v>
      </c>
    </row>
    <row r="173" ht="15.75" customHeight="1">
      <c r="A173" s="3" t="s">
        <v>30</v>
      </c>
      <c r="B173" s="10">
        <v>5.66335721E8</v>
      </c>
      <c r="C173" s="9">
        <v>38.741</v>
      </c>
      <c r="D173" s="9">
        <v>72.162</v>
      </c>
      <c r="E173" s="9">
        <v>48.261</v>
      </c>
      <c r="F173" s="5">
        <v>14.9</v>
      </c>
      <c r="G173" s="5">
        <v>9.1</v>
      </c>
      <c r="H173" s="4">
        <f t="shared" si="1"/>
        <v>7.99923644</v>
      </c>
      <c r="I173" s="4">
        <f t="shared" si="2"/>
        <v>7.304927374</v>
      </c>
      <c r="J173" s="4">
        <f t="shared" si="3"/>
        <v>7.652081907</v>
      </c>
      <c r="K173" s="4">
        <f t="shared" si="4"/>
        <v>1.495244607</v>
      </c>
      <c r="L173" s="4">
        <f t="shared" si="5"/>
        <v>1.637362637</v>
      </c>
      <c r="M173" s="4">
        <f t="shared" si="6"/>
        <v>-0.0867969176</v>
      </c>
      <c r="N173" s="3" t="s">
        <v>31</v>
      </c>
    </row>
    <row r="174" ht="15.75" customHeight="1">
      <c r="A174" s="3" t="s">
        <v>30</v>
      </c>
      <c r="B174" s="10">
        <v>1.22543721E8</v>
      </c>
      <c r="C174" s="9">
        <v>57.272</v>
      </c>
      <c r="D174" s="9">
        <v>92.282</v>
      </c>
      <c r="E174" s="9">
        <v>62.968</v>
      </c>
      <c r="F174" s="5">
        <v>14.9</v>
      </c>
      <c r="G174" s="5">
        <v>9.1</v>
      </c>
      <c r="H174" s="4">
        <f t="shared" si="1"/>
        <v>9.247229145</v>
      </c>
      <c r="I174" s="4">
        <f t="shared" si="2"/>
        <v>8.276826324</v>
      </c>
      <c r="J174" s="4">
        <f t="shared" si="3"/>
        <v>8.762027735</v>
      </c>
      <c r="K174" s="4">
        <f t="shared" si="4"/>
        <v>1.465538051</v>
      </c>
      <c r="L174" s="4">
        <f t="shared" si="5"/>
        <v>1.637362637</v>
      </c>
      <c r="M174" s="4">
        <f t="shared" si="6"/>
        <v>-0.104939848</v>
      </c>
      <c r="N174" s="3" t="s">
        <v>31</v>
      </c>
    </row>
    <row r="175" ht="15.75" customHeight="1">
      <c r="A175" s="3" t="s">
        <v>30</v>
      </c>
      <c r="B175" s="8">
        <v>2.94390451E8</v>
      </c>
      <c r="C175" s="9">
        <v>47.011</v>
      </c>
      <c r="D175" s="9">
        <v>69.529</v>
      </c>
      <c r="E175" s="9">
        <v>46.39</v>
      </c>
      <c r="F175" s="5">
        <v>14.9</v>
      </c>
      <c r="G175" s="5">
        <v>9.1</v>
      </c>
      <c r="H175" s="4">
        <f t="shared" si="1"/>
        <v>10.07441355</v>
      </c>
      <c r="I175" s="4">
        <f t="shared" si="2"/>
        <v>9.221817202</v>
      </c>
      <c r="J175" s="4">
        <f t="shared" si="3"/>
        <v>9.648115378</v>
      </c>
      <c r="K175" s="4">
        <f t="shared" si="4"/>
        <v>1.498792843</v>
      </c>
      <c r="L175" s="4">
        <f t="shared" si="5"/>
        <v>1.637362637</v>
      </c>
      <c r="M175" s="4">
        <f t="shared" si="6"/>
        <v>-0.08462987424</v>
      </c>
      <c r="N175" s="3" t="s">
        <v>31</v>
      </c>
    </row>
    <row r="176" ht="15.75" customHeight="1">
      <c r="A176" s="3" t="s">
        <v>30</v>
      </c>
      <c r="B176" s="10">
        <v>6.26080415E8</v>
      </c>
      <c r="C176" s="9">
        <v>59.537</v>
      </c>
      <c r="D176" s="9">
        <v>100.629</v>
      </c>
      <c r="E176" s="9">
        <v>61.321</v>
      </c>
      <c r="F176" s="5">
        <v>14.9</v>
      </c>
      <c r="G176" s="5">
        <v>9.1</v>
      </c>
      <c r="H176" s="4">
        <f t="shared" si="1"/>
        <v>8.815563108</v>
      </c>
      <c r="I176" s="4">
        <f t="shared" si="2"/>
        <v>8.835255459</v>
      </c>
      <c r="J176" s="4">
        <f t="shared" si="3"/>
        <v>8.825409284</v>
      </c>
      <c r="K176" s="4">
        <f t="shared" si="4"/>
        <v>1.641020205</v>
      </c>
      <c r="L176" s="4">
        <f t="shared" si="5"/>
        <v>1.637362637</v>
      </c>
      <c r="M176" s="4">
        <f t="shared" si="6"/>
        <v>0.002233816568</v>
      </c>
      <c r="N176" s="3" t="s">
        <v>31</v>
      </c>
    </row>
    <row r="177" ht="15.75" customHeight="1">
      <c r="A177" s="3" t="s">
        <v>30</v>
      </c>
      <c r="B177" s="8">
        <v>2.14974241E8</v>
      </c>
      <c r="C177" s="9">
        <v>126.846</v>
      </c>
      <c r="D177" s="9">
        <v>192.938</v>
      </c>
      <c r="E177" s="9">
        <v>123.199</v>
      </c>
      <c r="F177" s="5">
        <v>14.9</v>
      </c>
      <c r="G177" s="5">
        <v>9.1</v>
      </c>
      <c r="H177" s="4">
        <f t="shared" si="1"/>
        <v>9.795920969</v>
      </c>
      <c r="I177" s="4">
        <f t="shared" si="2"/>
        <v>9.369382868</v>
      </c>
      <c r="J177" s="4">
        <f t="shared" si="3"/>
        <v>9.582651919</v>
      </c>
      <c r="K177" s="4">
        <f t="shared" si="4"/>
        <v>1.566067906</v>
      </c>
      <c r="L177" s="4">
        <f t="shared" si="5"/>
        <v>1.637362637</v>
      </c>
      <c r="M177" s="4">
        <f t="shared" si="6"/>
        <v>-0.04354241958</v>
      </c>
      <c r="N177" s="3" t="s">
        <v>31</v>
      </c>
    </row>
    <row r="178" ht="15.75" customHeight="1">
      <c r="A178" s="3" t="s">
        <v>32</v>
      </c>
      <c r="B178" s="3">
        <v>2.95632551E8</v>
      </c>
      <c r="C178" s="4">
        <v>32.305</v>
      </c>
      <c r="D178" s="4">
        <v>80.344</v>
      </c>
      <c r="E178" s="4">
        <v>31.002</v>
      </c>
      <c r="F178" s="5">
        <v>6.6</v>
      </c>
      <c r="G178" s="5">
        <v>2.7</v>
      </c>
      <c r="H178" s="4">
        <f t="shared" si="1"/>
        <v>2.653751369</v>
      </c>
      <c r="I178" s="4">
        <f t="shared" si="2"/>
        <v>2.813479775</v>
      </c>
      <c r="J178" s="4">
        <f t="shared" si="3"/>
        <v>2.733615572</v>
      </c>
      <c r="K178" s="4">
        <f t="shared" si="4"/>
        <v>2.591574737</v>
      </c>
      <c r="L178" s="4">
        <f t="shared" si="5"/>
        <v>2.444444444</v>
      </c>
      <c r="M178" s="4">
        <f t="shared" si="6"/>
        <v>0.06018966518</v>
      </c>
      <c r="N178" s="3" t="s">
        <v>33</v>
      </c>
    </row>
    <row r="179" ht="15.75" customHeight="1">
      <c r="A179" s="6" t="s">
        <v>32</v>
      </c>
      <c r="B179" s="3">
        <v>6.24265091E8</v>
      </c>
      <c r="C179" s="4">
        <v>27.931</v>
      </c>
      <c r="D179" s="4">
        <v>70.286</v>
      </c>
      <c r="E179" s="4">
        <v>35.978</v>
      </c>
      <c r="F179" s="5">
        <v>6.6</v>
      </c>
      <c r="G179" s="5">
        <v>2.7</v>
      </c>
      <c r="H179" s="4">
        <f t="shared" si="1"/>
        <v>2.622778363</v>
      </c>
      <c r="I179" s="4">
        <f t="shared" si="2"/>
        <v>2.096105954</v>
      </c>
      <c r="J179" s="4">
        <f t="shared" si="3"/>
        <v>2.359442158</v>
      </c>
      <c r="K179" s="4">
        <f t="shared" si="4"/>
        <v>1.953582745</v>
      </c>
      <c r="L179" s="4">
        <f t="shared" si="5"/>
        <v>2.444444444</v>
      </c>
      <c r="M179" s="4">
        <f t="shared" si="6"/>
        <v>-0.2008070589</v>
      </c>
      <c r="N179" s="3" t="s">
        <v>33</v>
      </c>
    </row>
    <row r="180" ht="15.75" customHeight="1">
      <c r="A180" s="2" t="s">
        <v>32</v>
      </c>
      <c r="B180" s="3">
        <v>6.24308379E8</v>
      </c>
      <c r="C180" s="4">
        <v>24.687</v>
      </c>
      <c r="D180" s="4">
        <v>82.415</v>
      </c>
      <c r="E180" s="4">
        <v>39.56</v>
      </c>
      <c r="F180" s="5">
        <v>6.6</v>
      </c>
      <c r="G180" s="5">
        <v>2.7</v>
      </c>
      <c r="H180" s="4">
        <f t="shared" si="1"/>
        <v>1.976996906</v>
      </c>
      <c r="I180" s="4">
        <f t="shared" si="2"/>
        <v>1.684906471</v>
      </c>
      <c r="J180" s="4">
        <f t="shared" si="3"/>
        <v>1.830951689</v>
      </c>
      <c r="K180" s="4">
        <f t="shared" si="4"/>
        <v>2.083291203</v>
      </c>
      <c r="L180" s="4">
        <f t="shared" si="5"/>
        <v>2.444444444</v>
      </c>
      <c r="M180" s="4">
        <f t="shared" si="6"/>
        <v>-0.1477445078</v>
      </c>
      <c r="N180" s="3" t="s">
        <v>33</v>
      </c>
    </row>
    <row r="181" ht="15.75" customHeight="1">
      <c r="A181" s="3" t="s">
        <v>32</v>
      </c>
      <c r="B181" s="3">
        <v>1.30314251E8</v>
      </c>
      <c r="C181" s="4">
        <v>53.856</v>
      </c>
      <c r="D181" s="4">
        <v>123.916</v>
      </c>
      <c r="E181" s="4">
        <v>51.451</v>
      </c>
      <c r="F181" s="5">
        <v>6.6</v>
      </c>
      <c r="G181" s="5">
        <v>2.7</v>
      </c>
      <c r="H181" s="4">
        <f t="shared" si="1"/>
        <v>2.868472191</v>
      </c>
      <c r="I181" s="4">
        <f t="shared" si="2"/>
        <v>2.82620746</v>
      </c>
      <c r="J181" s="4">
        <f t="shared" si="3"/>
        <v>2.847339825</v>
      </c>
      <c r="K181" s="4">
        <f t="shared" si="4"/>
        <v>2.408427436</v>
      </c>
      <c r="L181" s="4">
        <f t="shared" si="5"/>
        <v>2.444444444</v>
      </c>
      <c r="M181" s="4">
        <f t="shared" si="6"/>
        <v>-0.0147342308</v>
      </c>
      <c r="N181" s="3" t="s">
        <v>33</v>
      </c>
    </row>
    <row r="182" ht="15.75" customHeight="1">
      <c r="A182" s="2" t="s">
        <v>32</v>
      </c>
      <c r="B182" s="3">
        <v>2.30451171E8</v>
      </c>
      <c r="C182" s="4">
        <v>30.046</v>
      </c>
      <c r="D182" s="4">
        <v>60.727</v>
      </c>
      <c r="E182" s="4">
        <v>28.751</v>
      </c>
      <c r="F182" s="5">
        <v>6.6</v>
      </c>
      <c r="G182" s="5">
        <v>2.7</v>
      </c>
      <c r="H182" s="4">
        <f t="shared" si="1"/>
        <v>3.265493109</v>
      </c>
      <c r="I182" s="4">
        <f t="shared" si="2"/>
        <v>2.821613161</v>
      </c>
      <c r="J182" s="4">
        <f t="shared" si="3"/>
        <v>3.043553135</v>
      </c>
      <c r="K182" s="4">
        <f t="shared" si="4"/>
        <v>2.112170011</v>
      </c>
      <c r="L182" s="4">
        <f t="shared" si="5"/>
        <v>2.444444444</v>
      </c>
      <c r="M182" s="4">
        <f t="shared" si="6"/>
        <v>-0.1359304498</v>
      </c>
      <c r="N182" s="3" t="s">
        <v>33</v>
      </c>
    </row>
    <row r="183" ht="15.75" customHeight="1">
      <c r="A183" s="2" t="s">
        <v>32</v>
      </c>
      <c r="B183" s="3">
        <v>6.26083639E8</v>
      </c>
      <c r="C183" s="4">
        <v>41.367</v>
      </c>
      <c r="D183" s="4">
        <v>87.573</v>
      </c>
      <c r="E183" s="4">
        <v>41.575</v>
      </c>
      <c r="F183" s="5">
        <v>6.6</v>
      </c>
      <c r="G183" s="5">
        <v>2.7</v>
      </c>
      <c r="H183" s="4">
        <f t="shared" si="1"/>
        <v>3.117652701</v>
      </c>
      <c r="I183" s="4">
        <f t="shared" si="2"/>
        <v>2.686491882</v>
      </c>
      <c r="J183" s="4">
        <f t="shared" si="3"/>
        <v>2.902072292</v>
      </c>
      <c r="K183" s="4">
        <f t="shared" si="4"/>
        <v>2.106386049</v>
      </c>
      <c r="L183" s="4">
        <f t="shared" si="5"/>
        <v>2.444444444</v>
      </c>
      <c r="M183" s="4">
        <f t="shared" si="6"/>
        <v>-0.1382966162</v>
      </c>
      <c r="N183" s="3" t="s">
        <v>33</v>
      </c>
    </row>
    <row r="184" ht="15.75" customHeight="1">
      <c r="A184" s="3" t="s">
        <v>32</v>
      </c>
      <c r="B184" s="3">
        <v>6.26818873E8</v>
      </c>
      <c r="C184" s="4">
        <v>43.001</v>
      </c>
      <c r="D184" s="4">
        <v>106.839</v>
      </c>
      <c r="E184" s="4">
        <v>40.503</v>
      </c>
      <c r="F184" s="5">
        <v>6.6</v>
      </c>
      <c r="G184" s="5">
        <v>2.7</v>
      </c>
      <c r="H184" s="4">
        <f t="shared" si="1"/>
        <v>2.656395137</v>
      </c>
      <c r="I184" s="4">
        <f t="shared" si="2"/>
        <v>2.866520998</v>
      </c>
      <c r="J184" s="4">
        <f t="shared" si="3"/>
        <v>2.761458068</v>
      </c>
      <c r="K184" s="4">
        <f t="shared" si="4"/>
        <v>2.637804607</v>
      </c>
      <c r="L184" s="4">
        <f t="shared" si="5"/>
        <v>2.444444444</v>
      </c>
      <c r="M184" s="4">
        <f t="shared" si="6"/>
        <v>0.07910188471</v>
      </c>
      <c r="N184" s="3" t="s">
        <v>33</v>
      </c>
    </row>
    <row r="185" ht="15.75" customHeight="1">
      <c r="A185" s="3" t="s">
        <v>32</v>
      </c>
      <c r="B185" s="3">
        <v>6.10315078E8</v>
      </c>
      <c r="C185" s="4">
        <v>46.333</v>
      </c>
      <c r="D185" s="4">
        <v>94.085</v>
      </c>
      <c r="E185" s="4">
        <v>41.333</v>
      </c>
      <c r="F185" s="5">
        <v>6.6</v>
      </c>
      <c r="G185" s="5">
        <v>2.7</v>
      </c>
      <c r="H185" s="4">
        <f t="shared" si="1"/>
        <v>3.250229048</v>
      </c>
      <c r="I185" s="4">
        <f t="shared" si="2"/>
        <v>3.026615537</v>
      </c>
      <c r="J185" s="4">
        <f t="shared" si="3"/>
        <v>3.138422293</v>
      </c>
      <c r="K185" s="4">
        <f t="shared" si="4"/>
        <v>2.276268357</v>
      </c>
      <c r="L185" s="4">
        <f t="shared" si="5"/>
        <v>2.444444444</v>
      </c>
      <c r="M185" s="4">
        <f t="shared" si="6"/>
        <v>-0.0687993085</v>
      </c>
      <c r="N185" s="3" t="s">
        <v>33</v>
      </c>
    </row>
    <row r="186" ht="15.75" customHeight="1">
      <c r="A186" s="3" t="s">
        <v>32</v>
      </c>
      <c r="B186" s="3">
        <v>6.11353578E8</v>
      </c>
      <c r="C186" s="4">
        <v>47.562</v>
      </c>
      <c r="D186" s="4">
        <v>114.829</v>
      </c>
      <c r="E186" s="4">
        <v>50.001</v>
      </c>
      <c r="F186" s="5">
        <v>6.6</v>
      </c>
      <c r="G186" s="5">
        <v>2.7</v>
      </c>
      <c r="H186" s="4">
        <f t="shared" si="1"/>
        <v>2.733710125</v>
      </c>
      <c r="I186" s="4">
        <f t="shared" si="2"/>
        <v>2.568296634</v>
      </c>
      <c r="J186" s="4">
        <f t="shared" si="3"/>
        <v>2.65100338</v>
      </c>
      <c r="K186" s="4">
        <f t="shared" si="4"/>
        <v>2.296534069</v>
      </c>
      <c r="L186" s="4">
        <f t="shared" si="5"/>
        <v>2.444444444</v>
      </c>
      <c r="M186" s="4">
        <f t="shared" si="6"/>
        <v>-0.06050878982</v>
      </c>
      <c r="N186" s="3" t="s">
        <v>33</v>
      </c>
    </row>
    <row r="187" ht="15.75" customHeight="1">
      <c r="A187" s="3" t="s">
        <v>32</v>
      </c>
      <c r="B187" s="3">
        <v>1.36024891E8</v>
      </c>
      <c r="C187" s="4">
        <v>32.25</v>
      </c>
      <c r="D187" s="4">
        <v>97.345</v>
      </c>
      <c r="E187" s="4">
        <v>41.976</v>
      </c>
      <c r="F187" s="5">
        <v>6.6</v>
      </c>
      <c r="G187" s="5">
        <v>2.7</v>
      </c>
      <c r="H187" s="4">
        <f t="shared" si="1"/>
        <v>2.186552982</v>
      </c>
      <c r="I187" s="4">
        <f t="shared" si="2"/>
        <v>2.074399657</v>
      </c>
      <c r="J187" s="4">
        <f t="shared" si="3"/>
        <v>2.130476319</v>
      </c>
      <c r="K187" s="4">
        <f t="shared" si="4"/>
        <v>2.319063274</v>
      </c>
      <c r="L187" s="4">
        <f t="shared" si="5"/>
        <v>2.444444444</v>
      </c>
      <c r="M187" s="4">
        <f t="shared" si="6"/>
        <v>-0.0512922969</v>
      </c>
      <c r="N187" s="3" t="s">
        <v>33</v>
      </c>
    </row>
    <row r="188" ht="15.75" customHeight="1">
      <c r="A188" s="3" t="s">
        <v>32</v>
      </c>
      <c r="B188" s="3">
        <v>3.95637991E8</v>
      </c>
      <c r="C188" s="4">
        <v>40.406</v>
      </c>
      <c r="D188" s="4">
        <v>86.217</v>
      </c>
      <c r="E188" s="4">
        <v>36.953</v>
      </c>
      <c r="F188" s="5">
        <v>6.6</v>
      </c>
      <c r="G188" s="5">
        <v>2.7</v>
      </c>
      <c r="H188" s="4">
        <f t="shared" si="1"/>
        <v>3.093120846</v>
      </c>
      <c r="I188" s="4">
        <f t="shared" si="2"/>
        <v>2.95229616</v>
      </c>
      <c r="J188" s="4">
        <f t="shared" si="3"/>
        <v>3.022708503</v>
      </c>
      <c r="K188" s="4">
        <f t="shared" si="4"/>
        <v>2.333152924</v>
      </c>
      <c r="L188" s="4">
        <f t="shared" si="5"/>
        <v>2.444444444</v>
      </c>
      <c r="M188" s="4">
        <f t="shared" si="6"/>
        <v>-0.04552834928</v>
      </c>
      <c r="N188" s="3" t="s">
        <v>33</v>
      </c>
    </row>
    <row r="189" ht="15.75" customHeight="1">
      <c r="A189" s="3" t="s">
        <v>32</v>
      </c>
      <c r="B189" s="3">
        <v>3.18480031E8</v>
      </c>
      <c r="C189" s="4">
        <v>32.546</v>
      </c>
      <c r="D189" s="4">
        <v>108.167</v>
      </c>
      <c r="E189" s="4">
        <v>44.545</v>
      </c>
      <c r="F189" s="5">
        <v>6.6</v>
      </c>
      <c r="G189" s="5">
        <v>2.7</v>
      </c>
      <c r="H189" s="4">
        <f t="shared" si="1"/>
        <v>1.985851507</v>
      </c>
      <c r="I189" s="4">
        <f t="shared" si="2"/>
        <v>1.972706252</v>
      </c>
      <c r="J189" s="4">
        <f t="shared" si="3"/>
        <v>1.97927888</v>
      </c>
      <c r="K189" s="4">
        <f t="shared" si="4"/>
        <v>2.428263554</v>
      </c>
      <c r="L189" s="4">
        <f t="shared" si="5"/>
        <v>2.444444444</v>
      </c>
      <c r="M189" s="4">
        <f t="shared" si="6"/>
        <v>-0.006619455301</v>
      </c>
      <c r="N189" s="3" t="s">
        <v>33</v>
      </c>
    </row>
    <row r="190" ht="15.75" customHeight="1">
      <c r="A190" s="3" t="s">
        <v>32</v>
      </c>
      <c r="B190" s="3">
        <v>6.25812566E8</v>
      </c>
      <c r="C190" s="4">
        <v>32.5</v>
      </c>
      <c r="D190" s="4">
        <v>91.53</v>
      </c>
      <c r="E190" s="4">
        <v>34.696</v>
      </c>
      <c r="F190" s="5">
        <v>6.6</v>
      </c>
      <c r="G190" s="5">
        <v>2.7</v>
      </c>
      <c r="H190" s="4">
        <f t="shared" si="1"/>
        <v>2.343493936</v>
      </c>
      <c r="I190" s="4">
        <f t="shared" si="2"/>
        <v>2.529109984</v>
      </c>
      <c r="J190" s="4">
        <f t="shared" si="3"/>
        <v>2.43630196</v>
      </c>
      <c r="K190" s="4">
        <f t="shared" si="4"/>
        <v>2.63805626</v>
      </c>
      <c r="L190" s="4">
        <f t="shared" si="5"/>
        <v>2.444444444</v>
      </c>
      <c r="M190" s="4">
        <f t="shared" si="6"/>
        <v>0.07920483367</v>
      </c>
      <c r="N190" s="3" t="s">
        <v>33</v>
      </c>
    </row>
    <row r="191" ht="15.75" customHeight="1">
      <c r="A191" s="3" t="s">
        <v>32</v>
      </c>
      <c r="B191" s="10">
        <v>6.26598727E8</v>
      </c>
      <c r="C191" s="9">
        <v>49.366</v>
      </c>
      <c r="D191" s="9">
        <v>89.149</v>
      </c>
      <c r="E191" s="9">
        <v>35.67</v>
      </c>
      <c r="F191" s="5">
        <v>6.6</v>
      </c>
      <c r="G191" s="5">
        <v>2.7</v>
      </c>
      <c r="H191" s="4">
        <f t="shared" si="1"/>
        <v>3.654730844</v>
      </c>
      <c r="I191" s="4">
        <f t="shared" si="2"/>
        <v>3.736703112</v>
      </c>
      <c r="J191" s="4">
        <f t="shared" si="3"/>
        <v>3.695716978</v>
      </c>
      <c r="K191" s="4">
        <f t="shared" si="4"/>
        <v>2.499271096</v>
      </c>
      <c r="L191" s="4">
        <f t="shared" si="5"/>
        <v>2.444444444</v>
      </c>
      <c r="M191" s="4">
        <f t="shared" si="6"/>
        <v>0.02242908479</v>
      </c>
      <c r="N191" s="3" t="s">
        <v>33</v>
      </c>
    </row>
    <row r="192" ht="15.75" customHeight="1">
      <c r="A192" s="3" t="s">
        <v>32</v>
      </c>
      <c r="B192" s="10">
        <v>6.17818359E8</v>
      </c>
      <c r="C192" s="9">
        <v>60.561</v>
      </c>
      <c r="D192" s="9">
        <v>118.964</v>
      </c>
      <c r="E192" s="9">
        <v>50.016</v>
      </c>
      <c r="F192" s="5">
        <v>6.6</v>
      </c>
      <c r="G192" s="5">
        <v>2.7</v>
      </c>
      <c r="H192" s="4">
        <f t="shared" si="1"/>
        <v>3.359861807</v>
      </c>
      <c r="I192" s="4">
        <f t="shared" si="2"/>
        <v>3.269247841</v>
      </c>
      <c r="J192" s="4">
        <f t="shared" si="3"/>
        <v>3.314554824</v>
      </c>
      <c r="K192" s="4">
        <f t="shared" si="4"/>
        <v>2.378518874</v>
      </c>
      <c r="L192" s="4">
        <f t="shared" si="5"/>
        <v>2.444444444</v>
      </c>
      <c r="M192" s="4">
        <f t="shared" si="6"/>
        <v>-0.02696955156</v>
      </c>
      <c r="N192" s="3" t="s">
        <v>33</v>
      </c>
    </row>
    <row r="193" ht="15.75" customHeight="1">
      <c r="A193" s="3" t="s">
        <v>32</v>
      </c>
      <c r="B193" s="10">
        <v>6.14014033E8</v>
      </c>
      <c r="C193" s="9">
        <v>49.46</v>
      </c>
      <c r="D193" s="9">
        <v>94.766</v>
      </c>
      <c r="E193" s="9">
        <v>41.975</v>
      </c>
      <c r="F193" s="5">
        <v>6.6</v>
      </c>
      <c r="G193" s="5">
        <v>2.7</v>
      </c>
      <c r="H193" s="4">
        <f t="shared" si="1"/>
        <v>3.444653146</v>
      </c>
      <c r="I193" s="4">
        <f t="shared" si="2"/>
        <v>3.181465158</v>
      </c>
      <c r="J193" s="4">
        <f t="shared" si="3"/>
        <v>3.313059152</v>
      </c>
      <c r="K193" s="4">
        <f t="shared" si="4"/>
        <v>2.257677189</v>
      </c>
      <c r="L193" s="4">
        <f t="shared" si="5"/>
        <v>2.444444444</v>
      </c>
      <c r="M193" s="4">
        <f t="shared" si="6"/>
        <v>-0.0764047864</v>
      </c>
      <c r="N193" s="3" t="s">
        <v>33</v>
      </c>
    </row>
    <row r="194" ht="15.75" customHeight="1">
      <c r="A194" s="3" t="s">
        <v>32</v>
      </c>
      <c r="B194" s="10">
        <v>2.88453111E8</v>
      </c>
      <c r="C194" s="9">
        <v>58.181</v>
      </c>
      <c r="D194" s="9">
        <v>102.334</v>
      </c>
      <c r="E194" s="9">
        <v>46.251</v>
      </c>
      <c r="F194" s="5">
        <v>6.6</v>
      </c>
      <c r="G194" s="5">
        <v>2.7</v>
      </c>
      <c r="H194" s="4">
        <f t="shared" si="1"/>
        <v>3.752365783</v>
      </c>
      <c r="I194" s="4">
        <f t="shared" si="2"/>
        <v>3.396438996</v>
      </c>
      <c r="J194" s="4">
        <f t="shared" si="3"/>
        <v>3.574402389</v>
      </c>
      <c r="K194" s="4">
        <f t="shared" si="4"/>
        <v>2.212579187</v>
      </c>
      <c r="L194" s="4">
        <f t="shared" si="5"/>
        <v>2.444444444</v>
      </c>
      <c r="M194" s="4">
        <f t="shared" si="6"/>
        <v>-0.09485396876</v>
      </c>
      <c r="N194" s="3" t="s">
        <v>33</v>
      </c>
    </row>
    <row r="195" ht="15.75" customHeight="1">
      <c r="A195" s="3" t="s">
        <v>32</v>
      </c>
      <c r="B195" s="10">
        <v>6.47343826E8</v>
      </c>
      <c r="C195" s="9">
        <v>67.915</v>
      </c>
      <c r="D195" s="9">
        <v>120.836</v>
      </c>
      <c r="E195" s="9">
        <v>52.116</v>
      </c>
      <c r="F195" s="5">
        <v>6.6</v>
      </c>
      <c r="G195" s="5">
        <v>2.7</v>
      </c>
      <c r="H195" s="4">
        <f t="shared" si="1"/>
        <v>3.709482273</v>
      </c>
      <c r="I195" s="4">
        <f t="shared" si="2"/>
        <v>3.518506793</v>
      </c>
      <c r="J195" s="4">
        <f t="shared" si="3"/>
        <v>3.613994533</v>
      </c>
      <c r="K195" s="4">
        <f t="shared" si="4"/>
        <v>2.318596976</v>
      </c>
      <c r="L195" s="4">
        <f t="shared" si="5"/>
        <v>2.444444444</v>
      </c>
      <c r="M195" s="4">
        <f t="shared" si="6"/>
        <v>-0.05148305528</v>
      </c>
      <c r="N195" s="3" t="s">
        <v>33</v>
      </c>
    </row>
    <row r="196" ht="15.75" customHeight="1">
      <c r="A196" s="3" t="s">
        <v>34</v>
      </c>
      <c r="B196" s="3">
        <v>6.3644222E8</v>
      </c>
      <c r="C196" s="4">
        <v>40.513</v>
      </c>
      <c r="D196" s="4">
        <v>78.311</v>
      </c>
      <c r="E196" s="4">
        <v>34.928</v>
      </c>
      <c r="F196" s="5">
        <v>8.0</v>
      </c>
      <c r="G196" s="5">
        <v>3.4</v>
      </c>
      <c r="H196" s="4">
        <f t="shared" si="1"/>
        <v>4.138677836</v>
      </c>
      <c r="I196" s="4">
        <f t="shared" si="2"/>
        <v>3.943661246</v>
      </c>
      <c r="J196" s="4">
        <f t="shared" si="3"/>
        <v>4.041169541</v>
      </c>
      <c r="K196" s="4">
        <f t="shared" si="4"/>
        <v>2.2420694</v>
      </c>
      <c r="L196" s="4">
        <f t="shared" si="5"/>
        <v>2.352941176</v>
      </c>
      <c r="M196" s="4">
        <f t="shared" si="6"/>
        <v>-0.04712050504</v>
      </c>
      <c r="N196" s="3" t="s">
        <v>35</v>
      </c>
    </row>
    <row r="197" ht="15.75" customHeight="1">
      <c r="A197" s="3" t="s">
        <v>34</v>
      </c>
      <c r="B197" s="3">
        <v>2.14583931E8</v>
      </c>
      <c r="C197" s="4">
        <v>46.686</v>
      </c>
      <c r="D197" s="4">
        <v>91.981</v>
      </c>
      <c r="E197" s="4">
        <v>40.206</v>
      </c>
      <c r="F197" s="5">
        <v>8.0</v>
      </c>
      <c r="G197" s="5">
        <v>3.4</v>
      </c>
      <c r="H197" s="4">
        <f t="shared" si="1"/>
        <v>4.060490754</v>
      </c>
      <c r="I197" s="4">
        <f t="shared" si="2"/>
        <v>3.947977914</v>
      </c>
      <c r="J197" s="4">
        <f t="shared" si="3"/>
        <v>4.004234334</v>
      </c>
      <c r="K197" s="4">
        <f t="shared" si="4"/>
        <v>2.287743123</v>
      </c>
      <c r="L197" s="4">
        <f t="shared" si="5"/>
        <v>2.352941176</v>
      </c>
      <c r="M197" s="4">
        <f t="shared" si="6"/>
        <v>-0.02770917276</v>
      </c>
      <c r="N197" s="3" t="s">
        <v>35</v>
      </c>
    </row>
    <row r="198" ht="15.75" customHeight="1">
      <c r="A198" s="3" t="s">
        <v>34</v>
      </c>
      <c r="B198" s="3">
        <v>3.12596851E8</v>
      </c>
      <c r="C198" s="4">
        <v>54.96</v>
      </c>
      <c r="D198" s="4">
        <v>100.624</v>
      </c>
      <c r="E198" s="4">
        <v>45.503</v>
      </c>
      <c r="F198" s="5">
        <v>8.0</v>
      </c>
      <c r="G198" s="5">
        <v>3.4</v>
      </c>
      <c r="H198" s="4">
        <f t="shared" si="1"/>
        <v>4.369534107</v>
      </c>
      <c r="I198" s="4">
        <f t="shared" si="2"/>
        <v>4.106630332</v>
      </c>
      <c r="J198" s="4">
        <f t="shared" si="3"/>
        <v>4.23808222</v>
      </c>
      <c r="K198" s="4">
        <f t="shared" si="4"/>
        <v>2.211370679</v>
      </c>
      <c r="L198" s="4">
        <f t="shared" si="5"/>
        <v>2.352941176</v>
      </c>
      <c r="M198" s="4">
        <f t="shared" si="6"/>
        <v>-0.06016746149</v>
      </c>
      <c r="N198" s="3" t="s">
        <v>35</v>
      </c>
    </row>
    <row r="199" ht="15.75" customHeight="1">
      <c r="A199" s="2" t="s">
        <v>34</v>
      </c>
      <c r="B199" s="3">
        <v>6.16877448E8</v>
      </c>
      <c r="C199" s="4">
        <v>36.825</v>
      </c>
      <c r="D199" s="4">
        <v>72.028</v>
      </c>
      <c r="E199" s="4">
        <v>35.0</v>
      </c>
      <c r="F199" s="5">
        <v>8.0</v>
      </c>
      <c r="G199" s="5">
        <v>3.4</v>
      </c>
      <c r="H199" s="4">
        <f t="shared" si="1"/>
        <v>4.090076082</v>
      </c>
      <c r="I199" s="4">
        <f t="shared" si="2"/>
        <v>3.577285714</v>
      </c>
      <c r="J199" s="4">
        <f t="shared" si="3"/>
        <v>3.833680898</v>
      </c>
      <c r="K199" s="4">
        <f t="shared" si="4"/>
        <v>2.057942857</v>
      </c>
      <c r="L199" s="4">
        <f t="shared" si="5"/>
        <v>2.352941176</v>
      </c>
      <c r="M199" s="4">
        <f t="shared" si="6"/>
        <v>-0.1253742857</v>
      </c>
      <c r="N199" s="3" t="s">
        <v>35</v>
      </c>
    </row>
    <row r="200" ht="15.75" customHeight="1">
      <c r="A200" s="3" t="s">
        <v>34</v>
      </c>
      <c r="B200" s="3">
        <v>5.62524211E8</v>
      </c>
      <c r="C200" s="4">
        <v>56.085</v>
      </c>
      <c r="D200" s="4">
        <v>105.49</v>
      </c>
      <c r="E200" s="4">
        <v>49.226</v>
      </c>
      <c r="F200" s="5">
        <v>8.0</v>
      </c>
      <c r="G200" s="5">
        <v>3.4</v>
      </c>
      <c r="H200" s="4">
        <f t="shared" si="1"/>
        <v>4.253294151</v>
      </c>
      <c r="I200" s="4">
        <f t="shared" si="2"/>
        <v>3.873745582</v>
      </c>
      <c r="J200" s="4">
        <f t="shared" si="3"/>
        <v>4.063519866</v>
      </c>
      <c r="K200" s="4">
        <f t="shared" si="4"/>
        <v>2.142973226</v>
      </c>
      <c r="L200" s="4">
        <f t="shared" si="5"/>
        <v>2.352941176</v>
      </c>
      <c r="M200" s="4">
        <f t="shared" si="6"/>
        <v>-0.08923637915</v>
      </c>
      <c r="N200" s="3" t="s">
        <v>35</v>
      </c>
    </row>
    <row r="201" ht="15.75" customHeight="1">
      <c r="A201" s="3" t="s">
        <v>34</v>
      </c>
      <c r="B201" s="3">
        <v>6.3113963E8</v>
      </c>
      <c r="C201" s="4">
        <v>61.098</v>
      </c>
      <c r="D201" s="4">
        <v>117.527</v>
      </c>
      <c r="E201" s="4">
        <v>53.021</v>
      </c>
      <c r="F201" s="5">
        <v>8.0</v>
      </c>
      <c r="G201" s="5">
        <v>3.4</v>
      </c>
      <c r="H201" s="4">
        <f t="shared" si="1"/>
        <v>4.158908166</v>
      </c>
      <c r="I201" s="4">
        <f t="shared" si="2"/>
        <v>3.917941948</v>
      </c>
      <c r="J201" s="4">
        <f t="shared" si="3"/>
        <v>4.038425057</v>
      </c>
      <c r="K201" s="4">
        <f t="shared" si="4"/>
        <v>2.216612286</v>
      </c>
      <c r="L201" s="4">
        <f t="shared" si="5"/>
        <v>2.352941176</v>
      </c>
      <c r="M201" s="4">
        <f t="shared" si="6"/>
        <v>-0.05793977858</v>
      </c>
      <c r="N201" s="3" t="s">
        <v>35</v>
      </c>
    </row>
    <row r="202" ht="15.75" customHeight="1">
      <c r="A202" s="3" t="s">
        <v>34</v>
      </c>
      <c r="B202" s="3">
        <v>7.7448271E7</v>
      </c>
      <c r="C202" s="4">
        <v>32.091</v>
      </c>
      <c r="D202" s="4">
        <v>89.994</v>
      </c>
      <c r="E202" s="4">
        <v>39.491</v>
      </c>
      <c r="F202" s="5">
        <v>8.0</v>
      </c>
      <c r="G202" s="5">
        <v>3.4</v>
      </c>
      <c r="H202" s="4">
        <f t="shared" si="1"/>
        <v>2.852723515</v>
      </c>
      <c r="I202" s="4">
        <f t="shared" si="2"/>
        <v>2.762892811</v>
      </c>
      <c r="J202" s="4">
        <f t="shared" si="3"/>
        <v>2.807808163</v>
      </c>
      <c r="K202" s="4">
        <f t="shared" si="4"/>
        <v>2.278848345</v>
      </c>
      <c r="L202" s="4">
        <f t="shared" si="5"/>
        <v>2.352941176</v>
      </c>
      <c r="M202" s="4">
        <f t="shared" si="6"/>
        <v>-0.03148945329</v>
      </c>
      <c r="N202" s="3" t="s">
        <v>35</v>
      </c>
    </row>
    <row r="203" ht="15.75" customHeight="1">
      <c r="A203" s="6" t="s">
        <v>34</v>
      </c>
      <c r="B203" s="3">
        <v>6.25430809E8</v>
      </c>
      <c r="C203" s="4">
        <v>52.05</v>
      </c>
      <c r="D203" s="4">
        <v>91.536</v>
      </c>
      <c r="E203" s="4">
        <v>46.573</v>
      </c>
      <c r="F203" s="5">
        <v>8.0</v>
      </c>
      <c r="G203" s="5">
        <v>3.4</v>
      </c>
      <c r="H203" s="4">
        <f t="shared" si="1"/>
        <v>4.54902989</v>
      </c>
      <c r="I203" s="4">
        <f t="shared" si="2"/>
        <v>3.79984111</v>
      </c>
      <c r="J203" s="4">
        <f t="shared" si="3"/>
        <v>4.1744355</v>
      </c>
      <c r="K203" s="4">
        <f t="shared" si="4"/>
        <v>1.965430614</v>
      </c>
      <c r="L203" s="4">
        <f t="shared" si="5"/>
        <v>2.352941176</v>
      </c>
      <c r="M203" s="4">
        <f t="shared" si="6"/>
        <v>-0.1646919889</v>
      </c>
      <c r="N203" s="3" t="s">
        <v>35</v>
      </c>
    </row>
    <row r="204" ht="15.75" customHeight="1">
      <c r="A204" s="2" t="s">
        <v>34</v>
      </c>
      <c r="B204" s="3">
        <v>3.08707971E8</v>
      </c>
      <c r="C204" s="4">
        <v>44.335</v>
      </c>
      <c r="D204" s="4">
        <v>98.357</v>
      </c>
      <c r="E204" s="4">
        <v>48.689</v>
      </c>
      <c r="F204" s="5">
        <v>8.0</v>
      </c>
      <c r="G204" s="5">
        <v>3.4</v>
      </c>
      <c r="H204" s="4">
        <f t="shared" si="1"/>
        <v>3.606047358</v>
      </c>
      <c r="I204" s="4">
        <f t="shared" si="2"/>
        <v>3.095955965</v>
      </c>
      <c r="J204" s="4">
        <f t="shared" si="3"/>
        <v>3.351001662</v>
      </c>
      <c r="K204" s="4">
        <f t="shared" si="4"/>
        <v>2.020107211</v>
      </c>
      <c r="L204" s="4">
        <f t="shared" si="5"/>
        <v>2.352941176</v>
      </c>
      <c r="M204" s="4">
        <f t="shared" si="6"/>
        <v>-0.1414544353</v>
      </c>
      <c r="N204" s="3" t="s">
        <v>35</v>
      </c>
    </row>
    <row r="205" ht="15.75" customHeight="1">
      <c r="A205" s="3" t="s">
        <v>34</v>
      </c>
      <c r="B205" s="3">
        <v>6.3259897E8</v>
      </c>
      <c r="C205" s="4">
        <v>35.307</v>
      </c>
      <c r="D205" s="4">
        <v>80.112</v>
      </c>
      <c r="E205" s="4">
        <v>32.564</v>
      </c>
      <c r="F205" s="5">
        <v>8.0</v>
      </c>
      <c r="G205" s="5">
        <v>3.4</v>
      </c>
      <c r="H205" s="4">
        <f t="shared" si="1"/>
        <v>3.52576393</v>
      </c>
      <c r="I205" s="4">
        <f t="shared" si="2"/>
        <v>3.68639602</v>
      </c>
      <c r="J205" s="4">
        <f t="shared" si="3"/>
        <v>3.606079975</v>
      </c>
      <c r="K205" s="4">
        <f t="shared" si="4"/>
        <v>2.460140032</v>
      </c>
      <c r="L205" s="4">
        <f t="shared" si="5"/>
        <v>2.352941176</v>
      </c>
      <c r="M205" s="4">
        <f t="shared" si="6"/>
        <v>0.04555951357</v>
      </c>
      <c r="N205" s="3" t="s">
        <v>35</v>
      </c>
    </row>
    <row r="206" ht="15.75" customHeight="1">
      <c r="A206" s="2" t="s">
        <v>34</v>
      </c>
      <c r="B206" s="3">
        <v>5.22240351E8</v>
      </c>
      <c r="C206" s="4">
        <v>47.334</v>
      </c>
      <c r="D206" s="4">
        <v>88.44</v>
      </c>
      <c r="E206" s="4">
        <v>43.648</v>
      </c>
      <c r="F206" s="5">
        <v>8.0</v>
      </c>
      <c r="G206" s="5">
        <v>3.4</v>
      </c>
      <c r="H206" s="4">
        <f t="shared" si="1"/>
        <v>4.281682497</v>
      </c>
      <c r="I206" s="4">
        <f t="shared" si="2"/>
        <v>3.687124267</v>
      </c>
      <c r="J206" s="4">
        <f t="shared" si="3"/>
        <v>3.984403382</v>
      </c>
      <c r="K206" s="4">
        <f t="shared" si="4"/>
        <v>2.026209677</v>
      </c>
      <c r="L206" s="4">
        <f t="shared" si="5"/>
        <v>2.352941176</v>
      </c>
      <c r="M206" s="4">
        <f t="shared" si="6"/>
        <v>-0.1388608871</v>
      </c>
      <c r="N206" s="3" t="s">
        <v>35</v>
      </c>
    </row>
    <row r="207" ht="15.75" customHeight="1">
      <c r="A207" s="3" t="s">
        <v>34</v>
      </c>
      <c r="B207" s="3">
        <v>1.47243091E8</v>
      </c>
      <c r="C207" s="4">
        <v>50.12</v>
      </c>
      <c r="D207" s="4">
        <v>98.189</v>
      </c>
      <c r="E207" s="4">
        <v>46.344</v>
      </c>
      <c r="F207" s="5">
        <v>8.0</v>
      </c>
      <c r="G207" s="5">
        <v>3.4</v>
      </c>
      <c r="H207" s="4">
        <f t="shared" si="1"/>
        <v>4.083553148</v>
      </c>
      <c r="I207" s="4">
        <f t="shared" si="2"/>
        <v>3.677023994</v>
      </c>
      <c r="J207" s="4">
        <f t="shared" si="3"/>
        <v>3.880288571</v>
      </c>
      <c r="K207" s="4">
        <f t="shared" si="4"/>
        <v>2.118699292</v>
      </c>
      <c r="L207" s="4">
        <f t="shared" si="5"/>
        <v>2.352941176</v>
      </c>
      <c r="M207" s="4">
        <f t="shared" si="6"/>
        <v>-0.09955280079</v>
      </c>
      <c r="N207" s="3" t="s">
        <v>35</v>
      </c>
    </row>
    <row r="208" ht="15.75" customHeight="1">
      <c r="A208" s="3" t="s">
        <v>34</v>
      </c>
      <c r="B208" s="3">
        <v>4.34994721E8</v>
      </c>
      <c r="C208" s="4">
        <v>44.949</v>
      </c>
      <c r="D208" s="4">
        <v>113.632</v>
      </c>
      <c r="E208" s="4">
        <v>47.183</v>
      </c>
      <c r="F208" s="5">
        <v>8.0</v>
      </c>
      <c r="G208" s="5">
        <v>3.4</v>
      </c>
      <c r="H208" s="4">
        <f t="shared" si="1"/>
        <v>3.164531118</v>
      </c>
      <c r="I208" s="4">
        <f t="shared" si="2"/>
        <v>3.23901829</v>
      </c>
      <c r="J208" s="4">
        <f t="shared" si="3"/>
        <v>3.201774704</v>
      </c>
      <c r="K208" s="4">
        <f t="shared" si="4"/>
        <v>2.408325032</v>
      </c>
      <c r="L208" s="4">
        <f t="shared" si="5"/>
        <v>2.352941176</v>
      </c>
      <c r="M208" s="4">
        <f t="shared" si="6"/>
        <v>0.02353813874</v>
      </c>
      <c r="N208" s="3" t="s">
        <v>35</v>
      </c>
    </row>
    <row r="209" ht="15.75" customHeight="1">
      <c r="A209" s="3" t="s">
        <v>34</v>
      </c>
      <c r="B209" s="3">
        <v>1.49551111E8</v>
      </c>
      <c r="C209" s="4">
        <v>46.39</v>
      </c>
      <c r="D209" s="4">
        <v>106.532</v>
      </c>
      <c r="E209" s="4">
        <v>42.126</v>
      </c>
      <c r="F209" s="5">
        <v>8.0</v>
      </c>
      <c r="G209" s="5">
        <v>3.4</v>
      </c>
      <c r="H209" s="4">
        <f t="shared" si="1"/>
        <v>3.483648106</v>
      </c>
      <c r="I209" s="4">
        <f t="shared" si="2"/>
        <v>3.744148507</v>
      </c>
      <c r="J209" s="4">
        <f t="shared" si="3"/>
        <v>3.613898306</v>
      </c>
      <c r="K209" s="4">
        <f t="shared" si="4"/>
        <v>2.528889522</v>
      </c>
      <c r="L209" s="4">
        <f t="shared" si="5"/>
        <v>2.352941176</v>
      </c>
      <c r="M209" s="4">
        <f t="shared" si="6"/>
        <v>0.07477804681</v>
      </c>
      <c r="N209" s="3" t="s">
        <v>35</v>
      </c>
    </row>
    <row r="210" ht="15.75" customHeight="1">
      <c r="A210" s="3" t="s">
        <v>34</v>
      </c>
      <c r="B210" s="3">
        <v>6.30309491E8</v>
      </c>
      <c r="C210" s="4">
        <v>48.826</v>
      </c>
      <c r="D210" s="4">
        <v>87.682</v>
      </c>
      <c r="E210" s="4">
        <v>41.759</v>
      </c>
      <c r="F210" s="5">
        <v>8.0</v>
      </c>
      <c r="G210" s="5">
        <v>3.4</v>
      </c>
      <c r="H210" s="4">
        <f t="shared" si="1"/>
        <v>4.454825392</v>
      </c>
      <c r="I210" s="4">
        <f t="shared" si="2"/>
        <v>3.975392131</v>
      </c>
      <c r="J210" s="4">
        <f t="shared" si="3"/>
        <v>4.215108761</v>
      </c>
      <c r="K210" s="4">
        <f t="shared" si="4"/>
        <v>2.099715031</v>
      </c>
      <c r="L210" s="4">
        <f t="shared" si="5"/>
        <v>2.352941176</v>
      </c>
      <c r="M210" s="4">
        <f t="shared" si="6"/>
        <v>-0.1076211116</v>
      </c>
      <c r="N210" s="3" t="s">
        <v>35</v>
      </c>
    </row>
    <row r="211" ht="15.75" customHeight="1">
      <c r="A211" s="3" t="s">
        <v>34</v>
      </c>
      <c r="B211" s="10">
        <v>6.18891516E8</v>
      </c>
      <c r="C211" s="9">
        <v>47.021</v>
      </c>
      <c r="D211" s="9">
        <v>82.828</v>
      </c>
      <c r="E211" s="9">
        <v>39.532</v>
      </c>
      <c r="F211" s="5">
        <v>8.0</v>
      </c>
      <c r="G211" s="5">
        <v>3.4</v>
      </c>
      <c r="H211" s="4">
        <f t="shared" si="1"/>
        <v>4.541555996</v>
      </c>
      <c r="I211" s="4">
        <f t="shared" si="2"/>
        <v>4.044100981</v>
      </c>
      <c r="J211" s="4">
        <f t="shared" si="3"/>
        <v>4.292828489</v>
      </c>
      <c r="K211" s="4">
        <f t="shared" si="4"/>
        <v>2.095214004</v>
      </c>
      <c r="L211" s="4">
        <f t="shared" si="5"/>
        <v>2.352941176</v>
      </c>
      <c r="M211" s="4">
        <f t="shared" si="6"/>
        <v>-0.1095340484</v>
      </c>
      <c r="N211" s="3" t="s">
        <v>35</v>
      </c>
    </row>
    <row r="212" ht="15.75" customHeight="1">
      <c r="A212" s="3" t="s">
        <v>34</v>
      </c>
      <c r="B212" s="10">
        <v>5.63422431E8</v>
      </c>
      <c r="C212" s="9">
        <v>79.202</v>
      </c>
      <c r="D212" s="9">
        <v>126.977</v>
      </c>
      <c r="E212" s="9">
        <v>59.841</v>
      </c>
      <c r="F212" s="5">
        <v>8.0</v>
      </c>
      <c r="G212" s="5">
        <v>3.4</v>
      </c>
      <c r="H212" s="4">
        <f t="shared" si="1"/>
        <v>4.990006064</v>
      </c>
      <c r="I212" s="4">
        <f t="shared" si="2"/>
        <v>4.500038435</v>
      </c>
      <c r="J212" s="4">
        <f t="shared" si="3"/>
        <v>4.74502225</v>
      </c>
      <c r="K212" s="4">
        <f t="shared" si="4"/>
        <v>2.121906385</v>
      </c>
      <c r="L212" s="4">
        <f t="shared" si="5"/>
        <v>2.352941176</v>
      </c>
      <c r="M212" s="4">
        <f t="shared" si="6"/>
        <v>-0.09818978627</v>
      </c>
      <c r="N212" s="3" t="s">
        <v>35</v>
      </c>
    </row>
    <row r="213" ht="15.75" customHeight="1">
      <c r="A213" s="3" t="s">
        <v>34</v>
      </c>
      <c r="B213" s="10">
        <v>1.42006671E8</v>
      </c>
      <c r="C213" s="9">
        <v>74.402</v>
      </c>
      <c r="D213" s="9">
        <v>123.504</v>
      </c>
      <c r="E213" s="9">
        <v>58.387</v>
      </c>
      <c r="F213" s="5">
        <v>8.0</v>
      </c>
      <c r="G213" s="5">
        <v>3.4</v>
      </c>
      <c r="H213" s="4">
        <f t="shared" si="1"/>
        <v>4.819406659</v>
      </c>
      <c r="I213" s="4">
        <f t="shared" si="2"/>
        <v>4.332587734</v>
      </c>
      <c r="J213" s="4">
        <f t="shared" si="3"/>
        <v>4.575997196</v>
      </c>
      <c r="K213" s="4">
        <f t="shared" si="4"/>
        <v>2.115265384</v>
      </c>
      <c r="L213" s="4">
        <f t="shared" si="5"/>
        <v>2.352941176</v>
      </c>
      <c r="M213" s="4">
        <f t="shared" si="6"/>
        <v>-0.1010122116</v>
      </c>
      <c r="N213" s="3" t="s">
        <v>35</v>
      </c>
    </row>
    <row r="214" ht="15.75" customHeight="1">
      <c r="A214" s="3" t="s">
        <v>36</v>
      </c>
      <c r="B214" s="3">
        <v>2.17687711E8</v>
      </c>
      <c r="C214" s="4">
        <v>28.271</v>
      </c>
      <c r="D214" s="4">
        <v>84.357</v>
      </c>
      <c r="E214" s="4">
        <v>36.388</v>
      </c>
      <c r="F214" s="5">
        <v>14.0</v>
      </c>
      <c r="G214" s="5">
        <v>5.9</v>
      </c>
      <c r="H214" s="4">
        <f t="shared" si="1"/>
        <v>4.691892789</v>
      </c>
      <c r="I214" s="4">
        <f t="shared" si="2"/>
        <v>4.583898538</v>
      </c>
      <c r="J214" s="4">
        <f t="shared" si="3"/>
        <v>4.637895663</v>
      </c>
      <c r="K214" s="4">
        <f t="shared" si="4"/>
        <v>2.318264263</v>
      </c>
      <c r="L214" s="4">
        <f t="shared" si="5"/>
        <v>2.372881356</v>
      </c>
      <c r="M214" s="4">
        <f t="shared" si="6"/>
        <v>-0.02301720347</v>
      </c>
      <c r="N214" s="3" t="s">
        <v>37</v>
      </c>
    </row>
    <row r="215" ht="15.75" customHeight="1">
      <c r="A215" s="2" t="s">
        <v>36</v>
      </c>
      <c r="B215" s="3">
        <v>5.58923961E8</v>
      </c>
      <c r="C215" s="4">
        <v>28.338</v>
      </c>
      <c r="D215" s="4">
        <v>75.292</v>
      </c>
      <c r="E215" s="4">
        <v>36.001</v>
      </c>
      <c r="F215" s="5">
        <v>14.0</v>
      </c>
      <c r="G215" s="5">
        <v>5.9</v>
      </c>
      <c r="H215" s="4">
        <f t="shared" si="1"/>
        <v>5.269245073</v>
      </c>
      <c r="I215" s="4">
        <f t="shared" si="2"/>
        <v>4.644154329</v>
      </c>
      <c r="J215" s="4">
        <f t="shared" si="3"/>
        <v>4.956699701</v>
      </c>
      <c r="K215" s="4">
        <f t="shared" si="4"/>
        <v>2.09138635</v>
      </c>
      <c r="L215" s="4">
        <f t="shared" si="5"/>
        <v>2.372881356</v>
      </c>
      <c r="M215" s="4">
        <f t="shared" si="6"/>
        <v>-0.1186300381</v>
      </c>
      <c r="N215" s="3" t="s">
        <v>37</v>
      </c>
    </row>
    <row r="216" ht="15.75" customHeight="1">
      <c r="A216" s="3" t="s">
        <v>36</v>
      </c>
      <c r="B216" s="3">
        <v>6.37199119E8</v>
      </c>
      <c r="C216" s="4">
        <v>32.33</v>
      </c>
      <c r="D216" s="4">
        <v>90.64</v>
      </c>
      <c r="E216" s="4">
        <v>42.337</v>
      </c>
      <c r="F216" s="5">
        <v>14.0</v>
      </c>
      <c r="G216" s="5">
        <v>5.9</v>
      </c>
      <c r="H216" s="4">
        <f t="shared" si="1"/>
        <v>4.993601059</v>
      </c>
      <c r="I216" s="4">
        <f t="shared" si="2"/>
        <v>4.50544441</v>
      </c>
      <c r="J216" s="4">
        <f t="shared" si="3"/>
        <v>4.749522735</v>
      </c>
      <c r="K216" s="4">
        <f t="shared" si="4"/>
        <v>2.140916928</v>
      </c>
      <c r="L216" s="4">
        <f t="shared" si="5"/>
        <v>2.372881356</v>
      </c>
      <c r="M216" s="4">
        <f t="shared" si="6"/>
        <v>-0.09775643729</v>
      </c>
      <c r="N216" s="3" t="s">
        <v>37</v>
      </c>
    </row>
    <row r="217" ht="15.75" customHeight="1">
      <c r="A217" s="3" t="s">
        <v>36</v>
      </c>
      <c r="B217" s="3">
        <v>6.48282428E8</v>
      </c>
      <c r="C217" s="4">
        <v>26.765</v>
      </c>
      <c r="D217" s="4">
        <v>84.551</v>
      </c>
      <c r="E217" s="4">
        <v>33.435</v>
      </c>
      <c r="F217" s="5">
        <v>14.0</v>
      </c>
      <c r="G217" s="5">
        <v>5.9</v>
      </c>
      <c r="H217" s="4">
        <f t="shared" si="1"/>
        <v>4.431763078</v>
      </c>
      <c r="I217" s="4">
        <f t="shared" si="2"/>
        <v>4.72299985</v>
      </c>
      <c r="J217" s="4">
        <f t="shared" si="3"/>
        <v>4.577381464</v>
      </c>
      <c r="K217" s="4">
        <f t="shared" si="4"/>
        <v>2.528817108</v>
      </c>
      <c r="L217" s="4">
        <f t="shared" si="5"/>
        <v>2.372881356</v>
      </c>
      <c r="M217" s="4">
        <f t="shared" si="6"/>
        <v>0.06571578115</v>
      </c>
      <c r="N217" s="3" t="s">
        <v>37</v>
      </c>
    </row>
    <row r="218" ht="15.75" customHeight="1">
      <c r="A218" s="3" t="s">
        <v>36</v>
      </c>
      <c r="B218" s="3">
        <v>5.34277321E8</v>
      </c>
      <c r="C218" s="4">
        <v>34.859</v>
      </c>
      <c r="D218" s="4">
        <v>95.005</v>
      </c>
      <c r="E218" s="4">
        <v>41.339</v>
      </c>
      <c r="F218" s="5">
        <v>14.0</v>
      </c>
      <c r="G218" s="5">
        <v>5.9</v>
      </c>
      <c r="H218" s="4">
        <f t="shared" si="1"/>
        <v>5.136845429</v>
      </c>
      <c r="I218" s="4">
        <f t="shared" si="2"/>
        <v>4.975159051</v>
      </c>
      <c r="J218" s="4">
        <f t="shared" si="3"/>
        <v>5.05600224</v>
      </c>
      <c r="K218" s="4">
        <f t="shared" si="4"/>
        <v>2.29819299</v>
      </c>
      <c r="L218" s="4">
        <f t="shared" si="5"/>
        <v>2.372881356</v>
      </c>
      <c r="M218" s="4">
        <f t="shared" si="6"/>
        <v>-0.0314758115</v>
      </c>
      <c r="N218" s="3" t="s">
        <v>37</v>
      </c>
    </row>
    <row r="219" ht="15.75" customHeight="1">
      <c r="A219" s="3" t="s">
        <v>36</v>
      </c>
      <c r="B219" s="3">
        <v>8.5328881E7</v>
      </c>
      <c r="C219" s="4">
        <v>35.661</v>
      </c>
      <c r="D219" s="4">
        <v>103.078</v>
      </c>
      <c r="E219" s="4">
        <v>44.338</v>
      </c>
      <c r="F219" s="5">
        <v>14.0</v>
      </c>
      <c r="G219" s="5">
        <v>5.9</v>
      </c>
      <c r="H219" s="4">
        <f t="shared" si="1"/>
        <v>4.843458352</v>
      </c>
      <c r="I219" s="4">
        <f t="shared" si="2"/>
        <v>4.745362894</v>
      </c>
      <c r="J219" s="4">
        <f t="shared" si="3"/>
        <v>4.794410623</v>
      </c>
      <c r="K219" s="4">
        <f t="shared" si="4"/>
        <v>2.324822951</v>
      </c>
      <c r="L219" s="4">
        <f t="shared" si="5"/>
        <v>2.372881356</v>
      </c>
      <c r="M219" s="4">
        <f t="shared" si="6"/>
        <v>-0.02025318495</v>
      </c>
      <c r="N219" s="3" t="s">
        <v>37</v>
      </c>
    </row>
    <row r="220" ht="15.75" customHeight="1">
      <c r="A220" s="2" t="s">
        <v>36</v>
      </c>
      <c r="B220" s="3">
        <v>4.59472651E8</v>
      </c>
      <c r="C220" s="4">
        <v>40.827</v>
      </c>
      <c r="D220" s="4">
        <v>102.01</v>
      </c>
      <c r="E220" s="4">
        <v>48.753</v>
      </c>
      <c r="F220" s="5">
        <v>14.0</v>
      </c>
      <c r="G220" s="5">
        <v>5.9</v>
      </c>
      <c r="H220" s="4">
        <f t="shared" si="1"/>
        <v>5.603156553</v>
      </c>
      <c r="I220" s="4">
        <f t="shared" si="2"/>
        <v>4.940809796</v>
      </c>
      <c r="J220" s="4">
        <f t="shared" si="3"/>
        <v>5.271983175</v>
      </c>
      <c r="K220" s="4">
        <f t="shared" si="4"/>
        <v>2.092384058</v>
      </c>
      <c r="L220" s="4">
        <f t="shared" si="5"/>
        <v>2.372881356</v>
      </c>
      <c r="M220" s="4">
        <f t="shared" si="6"/>
        <v>-0.1182095754</v>
      </c>
      <c r="N220" s="3" t="s">
        <v>37</v>
      </c>
    </row>
    <row r="221" ht="15.75" customHeight="1">
      <c r="A221" s="3" t="s">
        <v>36</v>
      </c>
      <c r="B221" s="3">
        <v>5.11142121E8</v>
      </c>
      <c r="C221" s="4">
        <v>23.673</v>
      </c>
      <c r="D221" s="4">
        <v>69.335</v>
      </c>
      <c r="E221" s="4">
        <v>30.678</v>
      </c>
      <c r="F221" s="5">
        <v>14.0</v>
      </c>
      <c r="G221" s="5">
        <v>5.9</v>
      </c>
      <c r="H221" s="4">
        <f t="shared" si="1"/>
        <v>4.780010096</v>
      </c>
      <c r="I221" s="4">
        <f t="shared" si="2"/>
        <v>4.552796792</v>
      </c>
      <c r="J221" s="4">
        <f t="shared" si="3"/>
        <v>4.666403444</v>
      </c>
      <c r="K221" s="4">
        <f t="shared" si="4"/>
        <v>2.260088663</v>
      </c>
      <c r="L221" s="4">
        <f t="shared" si="5"/>
        <v>2.372881356</v>
      </c>
      <c r="M221" s="4">
        <f t="shared" si="6"/>
        <v>-0.0475340635</v>
      </c>
      <c r="N221" s="3" t="s">
        <v>37</v>
      </c>
    </row>
    <row r="222" ht="15.75" customHeight="1">
      <c r="A222" s="3" t="s">
        <v>36</v>
      </c>
      <c r="B222" s="3">
        <v>6.15135197E8</v>
      </c>
      <c r="C222" s="4">
        <v>44.715</v>
      </c>
      <c r="D222" s="4">
        <v>138.16</v>
      </c>
      <c r="E222" s="4">
        <v>54.749</v>
      </c>
      <c r="F222" s="5">
        <v>14.0</v>
      </c>
      <c r="G222" s="5">
        <v>5.9</v>
      </c>
      <c r="H222" s="4">
        <f t="shared" si="1"/>
        <v>4.531050955</v>
      </c>
      <c r="I222" s="4">
        <f t="shared" si="2"/>
        <v>4.818690752</v>
      </c>
      <c r="J222" s="4">
        <f t="shared" si="3"/>
        <v>4.674870854</v>
      </c>
      <c r="K222" s="4">
        <f t="shared" si="4"/>
        <v>2.523516411</v>
      </c>
      <c r="L222" s="4">
        <f t="shared" si="5"/>
        <v>2.372881356</v>
      </c>
      <c r="M222" s="4">
        <f t="shared" si="6"/>
        <v>0.06348191617</v>
      </c>
      <c r="N222" s="3" t="s">
        <v>37</v>
      </c>
    </row>
    <row r="223" ht="15.75" customHeight="1">
      <c r="A223" s="3" t="s">
        <v>36</v>
      </c>
      <c r="B223" s="3">
        <v>6.28717898E8</v>
      </c>
      <c r="C223" s="4">
        <v>35.381</v>
      </c>
      <c r="D223" s="4">
        <v>87.796</v>
      </c>
      <c r="E223" s="4">
        <v>35.833</v>
      </c>
      <c r="F223" s="5">
        <v>14.0</v>
      </c>
      <c r="G223" s="5">
        <v>5.9</v>
      </c>
      <c r="H223" s="4">
        <f t="shared" si="1"/>
        <v>5.641874345</v>
      </c>
      <c r="I223" s="4">
        <f t="shared" si="2"/>
        <v>5.825576982</v>
      </c>
      <c r="J223" s="4">
        <f t="shared" si="3"/>
        <v>5.733725664</v>
      </c>
      <c r="K223" s="4">
        <f t="shared" si="4"/>
        <v>2.450143722</v>
      </c>
      <c r="L223" s="4">
        <f t="shared" si="5"/>
        <v>2.372881356</v>
      </c>
      <c r="M223" s="4">
        <f t="shared" si="6"/>
        <v>0.03256056867</v>
      </c>
      <c r="N223" s="3" t="s">
        <v>37</v>
      </c>
    </row>
    <row r="224" ht="15.75" customHeight="1">
      <c r="A224" s="3" t="s">
        <v>36</v>
      </c>
      <c r="B224" s="3">
        <v>8.8246891E7</v>
      </c>
      <c r="C224" s="4">
        <v>35.946</v>
      </c>
      <c r="D224" s="4">
        <v>104.661</v>
      </c>
      <c r="E224" s="13">
        <v>41.311</v>
      </c>
      <c r="F224" s="5">
        <v>14.0</v>
      </c>
      <c r="G224" s="5">
        <v>5.9</v>
      </c>
      <c r="H224" s="4">
        <f t="shared" si="1"/>
        <v>4.808324018</v>
      </c>
      <c r="I224" s="4">
        <f t="shared" si="2"/>
        <v>5.133775508</v>
      </c>
      <c r="J224" s="4">
        <f t="shared" si="3"/>
        <v>4.971049763</v>
      </c>
      <c r="K224" s="4">
        <f t="shared" si="4"/>
        <v>2.53348987</v>
      </c>
      <c r="L224" s="4">
        <f t="shared" si="5"/>
        <v>2.372881356</v>
      </c>
      <c r="M224" s="4">
        <f t="shared" si="6"/>
        <v>0.06768501644</v>
      </c>
      <c r="N224" s="3" t="s">
        <v>37</v>
      </c>
    </row>
    <row r="225" ht="15.75" customHeight="1">
      <c r="A225" s="3" t="s">
        <v>36</v>
      </c>
      <c r="B225" s="3">
        <v>1.37353131E8</v>
      </c>
      <c r="C225" s="4">
        <v>28.004</v>
      </c>
      <c r="D225" s="4">
        <v>83.836</v>
      </c>
      <c r="E225" s="4">
        <v>36.673</v>
      </c>
      <c r="F225" s="5">
        <v>14.0</v>
      </c>
      <c r="G225" s="5">
        <v>5.9</v>
      </c>
      <c r="H225" s="4">
        <f t="shared" si="1"/>
        <v>4.676463572</v>
      </c>
      <c r="I225" s="4">
        <f t="shared" si="2"/>
        <v>4.50531999</v>
      </c>
      <c r="J225" s="4">
        <f t="shared" si="3"/>
        <v>4.590891781</v>
      </c>
      <c r="K225" s="4">
        <f t="shared" si="4"/>
        <v>2.286041502</v>
      </c>
      <c r="L225" s="4">
        <f t="shared" si="5"/>
        <v>2.372881356</v>
      </c>
      <c r="M225" s="4">
        <f t="shared" si="6"/>
        <v>-0.03659679562</v>
      </c>
      <c r="N225" s="3" t="s">
        <v>37</v>
      </c>
    </row>
    <row r="226" ht="15.75" customHeight="1">
      <c r="A226" s="3" t="s">
        <v>36</v>
      </c>
      <c r="B226" s="3">
        <v>2.44051711E8</v>
      </c>
      <c r="C226" s="4">
        <v>31.785</v>
      </c>
      <c r="D226" s="4">
        <v>103.285</v>
      </c>
      <c r="E226" s="4">
        <v>41.399</v>
      </c>
      <c r="F226" s="5">
        <v>14.0</v>
      </c>
      <c r="G226" s="5">
        <v>5.9</v>
      </c>
      <c r="H226" s="4">
        <f t="shared" si="1"/>
        <v>4.308370044</v>
      </c>
      <c r="I226" s="4">
        <f t="shared" si="2"/>
        <v>4.529855794</v>
      </c>
      <c r="J226" s="4">
        <f t="shared" si="3"/>
        <v>4.419112919</v>
      </c>
      <c r="K226" s="4">
        <f t="shared" si="4"/>
        <v>2.494867026</v>
      </c>
      <c r="L226" s="4">
        <f t="shared" si="5"/>
        <v>2.372881356</v>
      </c>
      <c r="M226" s="4">
        <f t="shared" si="6"/>
        <v>0.05140824658</v>
      </c>
      <c r="N226" s="3" t="s">
        <v>37</v>
      </c>
    </row>
    <row r="227" ht="15.75" customHeight="1">
      <c r="A227" s="2" t="s">
        <v>36</v>
      </c>
      <c r="B227" s="3">
        <v>4.37201721E8</v>
      </c>
      <c r="C227" s="4">
        <v>29.236</v>
      </c>
      <c r="D227" s="4">
        <v>114.438</v>
      </c>
      <c r="E227" s="4">
        <v>42.012</v>
      </c>
      <c r="F227" s="5">
        <v>14.0</v>
      </c>
      <c r="G227" s="5">
        <v>5.9</v>
      </c>
      <c r="H227" s="4">
        <f t="shared" si="1"/>
        <v>3.576644122</v>
      </c>
      <c r="I227" s="4">
        <f t="shared" si="2"/>
        <v>4.105788822</v>
      </c>
      <c r="J227" s="4">
        <f t="shared" si="3"/>
        <v>3.841216472</v>
      </c>
      <c r="K227" s="4">
        <f t="shared" si="4"/>
        <v>2.723936018</v>
      </c>
      <c r="L227" s="4">
        <f t="shared" si="5"/>
        <v>2.372881356</v>
      </c>
      <c r="M227" s="4">
        <f t="shared" si="6"/>
        <v>0.1479444648</v>
      </c>
      <c r="N227" s="3" t="s">
        <v>37</v>
      </c>
    </row>
    <row r="228" ht="15.75" customHeight="1">
      <c r="A228" s="3" t="s">
        <v>36</v>
      </c>
      <c r="B228" s="3">
        <v>4.46568521E8</v>
      </c>
      <c r="C228" s="4">
        <v>53.193</v>
      </c>
      <c r="D228" s="4">
        <v>138.525</v>
      </c>
      <c r="E228" s="4">
        <v>57.303</v>
      </c>
      <c r="F228" s="5">
        <v>14.0</v>
      </c>
      <c r="G228" s="5">
        <v>5.9</v>
      </c>
      <c r="H228" s="4">
        <f t="shared" si="1"/>
        <v>5.375939361</v>
      </c>
      <c r="I228" s="4">
        <f t="shared" si="2"/>
        <v>5.476828438</v>
      </c>
      <c r="J228" s="4">
        <f t="shared" si="3"/>
        <v>5.4263839</v>
      </c>
      <c r="K228" s="4">
        <f t="shared" si="4"/>
        <v>2.417412701</v>
      </c>
      <c r="L228" s="4">
        <f t="shared" si="5"/>
        <v>2.372881356</v>
      </c>
      <c r="M228" s="4">
        <f t="shared" si="6"/>
        <v>0.0187667811</v>
      </c>
      <c r="N228" s="3" t="s">
        <v>37</v>
      </c>
    </row>
    <row r="229" ht="15.75" customHeight="1">
      <c r="A229" s="12" t="s">
        <v>36</v>
      </c>
      <c r="B229" s="10">
        <v>6.29702453E8</v>
      </c>
      <c r="C229" s="9">
        <v>41.013</v>
      </c>
      <c r="D229" s="9">
        <v>93.155</v>
      </c>
      <c r="E229" s="9">
        <v>46.019</v>
      </c>
      <c r="F229" s="5">
        <v>14.0</v>
      </c>
      <c r="G229" s="5">
        <v>5.9</v>
      </c>
      <c r="H229" s="4">
        <f t="shared" si="1"/>
        <v>6.163727121</v>
      </c>
      <c r="I229" s="4">
        <f t="shared" si="2"/>
        <v>5.258191182</v>
      </c>
      <c r="J229" s="4">
        <f t="shared" si="3"/>
        <v>5.710959152</v>
      </c>
      <c r="K229" s="4">
        <f t="shared" si="4"/>
        <v>2.024272583</v>
      </c>
      <c r="L229" s="4">
        <f t="shared" si="5"/>
        <v>2.372881356</v>
      </c>
      <c r="M229" s="4">
        <f t="shared" si="6"/>
        <v>-0.1469136971</v>
      </c>
      <c r="N229" s="3" t="s">
        <v>37</v>
      </c>
    </row>
    <row r="230" ht="15.75" customHeight="1">
      <c r="A230" s="3" t="s">
        <v>36</v>
      </c>
      <c r="B230" s="10">
        <v>2.44105491E8</v>
      </c>
      <c r="C230" s="9">
        <v>46.003</v>
      </c>
      <c r="D230" s="9">
        <v>119.425</v>
      </c>
      <c r="E230" s="9">
        <v>47.724</v>
      </c>
      <c r="F230" s="5">
        <v>14.0</v>
      </c>
      <c r="G230" s="5">
        <v>5.9</v>
      </c>
      <c r="H230" s="4">
        <f t="shared" si="1"/>
        <v>5.392857442</v>
      </c>
      <c r="I230" s="4">
        <f t="shared" si="2"/>
        <v>5.68723703</v>
      </c>
      <c r="J230" s="4">
        <f t="shared" si="3"/>
        <v>5.540047236</v>
      </c>
      <c r="K230" s="4">
        <f t="shared" si="4"/>
        <v>2.502409689</v>
      </c>
      <c r="L230" s="4">
        <f t="shared" si="5"/>
        <v>2.372881356</v>
      </c>
      <c r="M230" s="4">
        <f t="shared" si="6"/>
        <v>0.05458694038</v>
      </c>
      <c r="N230" s="3" t="s">
        <v>37</v>
      </c>
    </row>
    <row r="231" ht="15.75" customHeight="1">
      <c r="A231" s="3" t="s">
        <v>38</v>
      </c>
      <c r="B231" s="3">
        <v>1.75802241E8</v>
      </c>
      <c r="C231" s="4">
        <v>27.205</v>
      </c>
      <c r="D231" s="4">
        <v>127.892</v>
      </c>
      <c r="E231" s="4">
        <v>41.667</v>
      </c>
      <c r="F231" s="5">
        <v>21.4</v>
      </c>
      <c r="G231" s="5">
        <v>6.4</v>
      </c>
      <c r="H231" s="4">
        <f t="shared" si="1"/>
        <v>4.552176837</v>
      </c>
      <c r="I231" s="4">
        <f t="shared" si="2"/>
        <v>4.178654571</v>
      </c>
      <c r="J231" s="4">
        <f t="shared" si="3"/>
        <v>4.365415704</v>
      </c>
      <c r="K231" s="4">
        <f t="shared" si="4"/>
        <v>3.069383445</v>
      </c>
      <c r="L231" s="4">
        <f t="shared" si="5"/>
        <v>3.34375</v>
      </c>
      <c r="M231" s="4">
        <f t="shared" si="6"/>
        <v>-0.08205354918</v>
      </c>
      <c r="N231" s="3" t="s">
        <v>39</v>
      </c>
    </row>
    <row r="232" ht="15.75" customHeight="1">
      <c r="A232" s="3" t="s">
        <v>38</v>
      </c>
      <c r="B232" s="3">
        <v>6.23281161E8</v>
      </c>
      <c r="C232" s="4">
        <v>33.185</v>
      </c>
      <c r="D232" s="4">
        <v>151.195</v>
      </c>
      <c r="E232" s="4">
        <v>49.154</v>
      </c>
      <c r="F232" s="5">
        <v>21.4</v>
      </c>
      <c r="G232" s="5">
        <v>6.4</v>
      </c>
      <c r="H232" s="4">
        <f t="shared" si="1"/>
        <v>4.696974106</v>
      </c>
      <c r="I232" s="4">
        <f t="shared" si="2"/>
        <v>4.320787728</v>
      </c>
      <c r="J232" s="4">
        <f t="shared" si="3"/>
        <v>4.508880917</v>
      </c>
      <c r="K232" s="4">
        <f t="shared" si="4"/>
        <v>3.075944989</v>
      </c>
      <c r="L232" s="4">
        <f t="shared" si="5"/>
        <v>3.34375</v>
      </c>
      <c r="M232" s="4">
        <f t="shared" si="6"/>
        <v>-0.08009121818</v>
      </c>
      <c r="N232" s="3" t="s">
        <v>39</v>
      </c>
    </row>
    <row r="233" ht="15.75" customHeight="1">
      <c r="A233" s="3" t="s">
        <v>38</v>
      </c>
      <c r="B233" s="3">
        <v>6.41430683E8</v>
      </c>
      <c r="C233" s="4">
        <v>55.631</v>
      </c>
      <c r="D233" s="4">
        <v>236.144</v>
      </c>
      <c r="E233" s="4">
        <v>73.171</v>
      </c>
      <c r="F233" s="5">
        <v>21.4</v>
      </c>
      <c r="G233" s="5">
        <v>6.4</v>
      </c>
      <c r="H233" s="4">
        <f t="shared" si="1"/>
        <v>5.041429806</v>
      </c>
      <c r="I233" s="4">
        <f t="shared" si="2"/>
        <v>4.865840292</v>
      </c>
      <c r="J233" s="4">
        <f t="shared" si="3"/>
        <v>4.953635049</v>
      </c>
      <c r="K233" s="4">
        <f t="shared" si="4"/>
        <v>3.2272895</v>
      </c>
      <c r="L233" s="4">
        <f t="shared" si="5"/>
        <v>3.34375</v>
      </c>
      <c r="M233" s="4">
        <f t="shared" si="6"/>
        <v>-0.03482930843</v>
      </c>
      <c r="N233" s="3" t="s">
        <v>39</v>
      </c>
    </row>
    <row r="234" ht="15.75" customHeight="1">
      <c r="A234" s="3" t="s">
        <v>38</v>
      </c>
      <c r="B234" s="3">
        <v>6.40354691E8</v>
      </c>
      <c r="C234" s="4">
        <v>40.719</v>
      </c>
      <c r="D234" s="4">
        <v>203.725</v>
      </c>
      <c r="E234" s="4">
        <v>60.0</v>
      </c>
      <c r="F234" s="5">
        <v>21.4</v>
      </c>
      <c r="G234" s="5">
        <v>6.4</v>
      </c>
      <c r="H234" s="4">
        <f t="shared" si="1"/>
        <v>4.277268867</v>
      </c>
      <c r="I234" s="4">
        <f t="shared" si="2"/>
        <v>4.34336</v>
      </c>
      <c r="J234" s="4">
        <f t="shared" si="3"/>
        <v>4.310314434</v>
      </c>
      <c r="K234" s="4">
        <f t="shared" si="4"/>
        <v>3.395416667</v>
      </c>
      <c r="L234" s="4">
        <f t="shared" si="5"/>
        <v>3.34375</v>
      </c>
      <c r="M234" s="4">
        <f t="shared" si="6"/>
        <v>0.0154517134</v>
      </c>
      <c r="N234" s="3" t="s">
        <v>39</v>
      </c>
    </row>
    <row r="235" ht="15.75" customHeight="1">
      <c r="A235" s="3" t="s">
        <v>38</v>
      </c>
      <c r="B235" s="3">
        <v>6.41050112E8</v>
      </c>
      <c r="C235" s="4">
        <v>40.206</v>
      </c>
      <c r="D235" s="4">
        <v>181.29</v>
      </c>
      <c r="E235" s="4">
        <v>55.369</v>
      </c>
      <c r="F235" s="5">
        <v>21.4</v>
      </c>
      <c r="G235" s="5">
        <v>6.4</v>
      </c>
      <c r="H235" s="4">
        <f t="shared" si="1"/>
        <v>4.746033427</v>
      </c>
      <c r="I235" s="4">
        <f t="shared" si="2"/>
        <v>4.647336958</v>
      </c>
      <c r="J235" s="4">
        <f t="shared" si="3"/>
        <v>4.696685192</v>
      </c>
      <c r="K235" s="4">
        <f t="shared" si="4"/>
        <v>3.274214813</v>
      </c>
      <c r="L235" s="4">
        <f t="shared" si="5"/>
        <v>3.34375</v>
      </c>
      <c r="M235" s="4">
        <f t="shared" si="6"/>
        <v>-0.02079556984</v>
      </c>
      <c r="N235" s="3" t="s">
        <v>39</v>
      </c>
    </row>
    <row r="236" ht="15.75" customHeight="1">
      <c r="A236" s="3" t="s">
        <v>38</v>
      </c>
      <c r="B236" s="3">
        <v>4.73832811E8</v>
      </c>
      <c r="C236" s="4">
        <v>33.668</v>
      </c>
      <c r="D236" s="4">
        <v>149.908</v>
      </c>
      <c r="E236" s="4">
        <v>50.047</v>
      </c>
      <c r="F236" s="5">
        <v>21.4</v>
      </c>
      <c r="G236" s="5">
        <v>6.4</v>
      </c>
      <c r="H236" s="4">
        <f t="shared" si="1"/>
        <v>4.806249166</v>
      </c>
      <c r="I236" s="4">
        <f t="shared" si="2"/>
        <v>4.305456871</v>
      </c>
      <c r="J236" s="4">
        <f t="shared" si="3"/>
        <v>4.555853018</v>
      </c>
      <c r="K236" s="4">
        <f t="shared" si="4"/>
        <v>2.995344376</v>
      </c>
      <c r="L236" s="4">
        <f t="shared" si="5"/>
        <v>3.34375</v>
      </c>
      <c r="M236" s="4">
        <f t="shared" si="6"/>
        <v>-0.1041960744</v>
      </c>
      <c r="N236" s="3" t="s">
        <v>39</v>
      </c>
    </row>
    <row r="237" ht="15.75" customHeight="1">
      <c r="A237" s="2" t="s">
        <v>38</v>
      </c>
      <c r="B237" s="3">
        <v>6.13710339E8</v>
      </c>
      <c r="C237" s="4">
        <v>43.431</v>
      </c>
      <c r="D237" s="4">
        <v>190.746</v>
      </c>
      <c r="E237" s="4">
        <v>65.708</v>
      </c>
      <c r="F237" s="5">
        <v>21.4</v>
      </c>
      <c r="G237" s="5">
        <v>6.4</v>
      </c>
      <c r="H237" s="4">
        <f t="shared" si="1"/>
        <v>4.872570853</v>
      </c>
      <c r="I237" s="4">
        <f t="shared" si="2"/>
        <v>4.230206368</v>
      </c>
      <c r="J237" s="4">
        <f t="shared" si="3"/>
        <v>4.55138861</v>
      </c>
      <c r="K237" s="4">
        <f t="shared" si="4"/>
        <v>2.902934194</v>
      </c>
      <c r="L237" s="4">
        <f t="shared" si="5"/>
        <v>3.34375</v>
      </c>
      <c r="M237" s="4">
        <f t="shared" si="6"/>
        <v>-0.1318327645</v>
      </c>
      <c r="N237" s="3" t="s">
        <v>39</v>
      </c>
    </row>
    <row r="238" ht="15.75" customHeight="1">
      <c r="A238" s="2" t="s">
        <v>38</v>
      </c>
      <c r="B238" s="3">
        <v>6.09534169E8</v>
      </c>
      <c r="C238" s="4">
        <v>33.521</v>
      </c>
      <c r="D238" s="4">
        <v>160.723</v>
      </c>
      <c r="E238" s="4">
        <v>55.252</v>
      </c>
      <c r="F238" s="5">
        <v>21.4</v>
      </c>
      <c r="G238" s="5">
        <v>6.4</v>
      </c>
      <c r="H238" s="4">
        <f t="shared" si="1"/>
        <v>4.46326537</v>
      </c>
      <c r="I238" s="4">
        <f t="shared" si="2"/>
        <v>3.88283501</v>
      </c>
      <c r="J238" s="4">
        <f t="shared" si="3"/>
        <v>4.17305019</v>
      </c>
      <c r="K238" s="4">
        <f t="shared" si="4"/>
        <v>2.908908275</v>
      </c>
      <c r="L238" s="4">
        <f t="shared" si="5"/>
        <v>3.34375</v>
      </c>
      <c r="M238" s="4">
        <f t="shared" si="6"/>
        <v>-0.1300461234</v>
      </c>
      <c r="N238" s="3" t="s">
        <v>39</v>
      </c>
    </row>
    <row r="239" ht="15.75" customHeight="1">
      <c r="A239" s="3" t="s">
        <v>38</v>
      </c>
      <c r="B239" s="3">
        <v>6.33210458E8</v>
      </c>
      <c r="C239" s="4">
        <v>40.953</v>
      </c>
      <c r="D239" s="4">
        <v>174.545</v>
      </c>
      <c r="E239" s="4">
        <v>55.004</v>
      </c>
      <c r="F239" s="5">
        <v>21.4</v>
      </c>
      <c r="G239" s="5">
        <v>6.4</v>
      </c>
      <c r="H239" s="4">
        <f t="shared" si="1"/>
        <v>5.021021513</v>
      </c>
      <c r="I239" s="4">
        <f t="shared" si="2"/>
        <v>4.765093448</v>
      </c>
      <c r="J239" s="4">
        <f t="shared" si="3"/>
        <v>4.89305748</v>
      </c>
      <c r="K239" s="4">
        <f t="shared" si="4"/>
        <v>3.173314668</v>
      </c>
      <c r="L239" s="4">
        <f t="shared" si="5"/>
        <v>3.34375</v>
      </c>
      <c r="M239" s="4">
        <f t="shared" si="6"/>
        <v>-0.05097131424</v>
      </c>
      <c r="N239" s="3" t="s">
        <v>39</v>
      </c>
    </row>
    <row r="240" ht="15.75" customHeight="1">
      <c r="A240" s="6" t="s">
        <v>38</v>
      </c>
      <c r="B240" s="3">
        <v>6.32836046E8</v>
      </c>
      <c r="C240" s="4">
        <v>46.756</v>
      </c>
      <c r="D240" s="4">
        <v>168.668</v>
      </c>
      <c r="E240" s="4">
        <v>63.355</v>
      </c>
      <c r="F240" s="5">
        <v>21.4</v>
      </c>
      <c r="G240" s="5">
        <v>6.4</v>
      </c>
      <c r="H240" s="4">
        <f t="shared" si="1"/>
        <v>5.932236109</v>
      </c>
      <c r="I240" s="4">
        <f t="shared" si="2"/>
        <v>4.72320101</v>
      </c>
      <c r="J240" s="4">
        <f t="shared" si="3"/>
        <v>5.327718559</v>
      </c>
      <c r="K240" s="4">
        <f t="shared" si="4"/>
        <v>2.662268171</v>
      </c>
      <c r="L240" s="4">
        <f t="shared" si="5"/>
        <v>3.34375</v>
      </c>
      <c r="M240" s="4">
        <f t="shared" si="6"/>
        <v>-0.2038076497</v>
      </c>
      <c r="N240" s="3" t="s">
        <v>39</v>
      </c>
    </row>
    <row r="241" ht="15.75" customHeight="1">
      <c r="A241" s="6" t="s">
        <v>38</v>
      </c>
      <c r="B241" s="3">
        <v>6.29621982E8</v>
      </c>
      <c r="C241" s="4">
        <v>36.58</v>
      </c>
      <c r="D241" s="4">
        <v>177.238</v>
      </c>
      <c r="E241" s="4">
        <v>63.29</v>
      </c>
      <c r="F241" s="5">
        <v>21.4</v>
      </c>
      <c r="G241" s="5">
        <v>6.4</v>
      </c>
      <c r="H241" s="4">
        <f t="shared" si="1"/>
        <v>4.41672779</v>
      </c>
      <c r="I241" s="4">
        <f t="shared" si="2"/>
        <v>3.699036183</v>
      </c>
      <c r="J241" s="4">
        <f t="shared" si="3"/>
        <v>4.057881986</v>
      </c>
      <c r="K241" s="4">
        <f t="shared" si="4"/>
        <v>2.800410807</v>
      </c>
      <c r="L241" s="4">
        <f t="shared" si="5"/>
        <v>3.34375</v>
      </c>
      <c r="M241" s="4">
        <f t="shared" si="6"/>
        <v>-0.1624939641</v>
      </c>
      <c r="N241" s="3" t="s">
        <v>39</v>
      </c>
    </row>
    <row r="242" ht="15.75" customHeight="1">
      <c r="A242" s="3" t="s">
        <v>38</v>
      </c>
      <c r="B242" s="3">
        <v>5.92109911E8</v>
      </c>
      <c r="C242" s="4">
        <v>34.707</v>
      </c>
      <c r="D242" s="4">
        <v>204.941</v>
      </c>
      <c r="E242" s="4">
        <v>56.509</v>
      </c>
      <c r="F242" s="5">
        <v>21.4</v>
      </c>
      <c r="G242" s="5">
        <v>6.4</v>
      </c>
      <c r="H242" s="4">
        <f t="shared" si="1"/>
        <v>3.624115233</v>
      </c>
      <c r="I242" s="4">
        <f t="shared" si="2"/>
        <v>3.930786246</v>
      </c>
      <c r="J242" s="4">
        <f t="shared" si="3"/>
        <v>3.77745074</v>
      </c>
      <c r="K242" s="4">
        <f t="shared" si="4"/>
        <v>3.626696632</v>
      </c>
      <c r="L242" s="4">
        <f t="shared" si="5"/>
        <v>3.34375</v>
      </c>
      <c r="M242" s="4">
        <f t="shared" si="6"/>
        <v>0.08461955361</v>
      </c>
      <c r="N242" s="3" t="s">
        <v>39</v>
      </c>
    </row>
    <row r="243" ht="15.75" customHeight="1">
      <c r="A243" s="3" t="s">
        <v>38</v>
      </c>
      <c r="B243" s="3">
        <v>4.43918351E8</v>
      </c>
      <c r="C243" s="4">
        <v>39.609</v>
      </c>
      <c r="D243" s="4">
        <v>212.984</v>
      </c>
      <c r="E243" s="4">
        <v>63.75</v>
      </c>
      <c r="F243" s="5">
        <v>21.4</v>
      </c>
      <c r="G243" s="5">
        <v>6.4</v>
      </c>
      <c r="H243" s="4">
        <f t="shared" si="1"/>
        <v>3.979794726</v>
      </c>
      <c r="I243" s="4">
        <f t="shared" si="2"/>
        <v>3.976432941</v>
      </c>
      <c r="J243" s="4">
        <f t="shared" si="3"/>
        <v>3.978113834</v>
      </c>
      <c r="K243" s="4">
        <f t="shared" si="4"/>
        <v>3.34092549</v>
      </c>
      <c r="L243" s="4">
        <f t="shared" si="5"/>
        <v>3.34375</v>
      </c>
      <c r="M243" s="4">
        <f t="shared" si="6"/>
        <v>-0.0008447132124</v>
      </c>
      <c r="N243" s="3" t="s">
        <v>39</v>
      </c>
    </row>
    <row r="244" ht="15.75" customHeight="1">
      <c r="A244" s="3" t="s">
        <v>38</v>
      </c>
      <c r="B244" s="3">
        <v>7.4829831E7</v>
      </c>
      <c r="C244" s="4">
        <v>39.611</v>
      </c>
      <c r="D244" s="4">
        <v>211.009</v>
      </c>
      <c r="E244" s="4">
        <v>68.566</v>
      </c>
      <c r="F244" s="5">
        <v>21.4</v>
      </c>
      <c r="G244" s="5">
        <v>6.4</v>
      </c>
      <c r="H244" s="4">
        <f t="shared" si="1"/>
        <v>4.017247606</v>
      </c>
      <c r="I244" s="4">
        <f t="shared" si="2"/>
        <v>3.697319371</v>
      </c>
      <c r="J244" s="4">
        <f t="shared" si="3"/>
        <v>3.857283488</v>
      </c>
      <c r="K244" s="4">
        <f t="shared" si="4"/>
        <v>3.077458215</v>
      </c>
      <c r="L244" s="4">
        <f t="shared" si="5"/>
        <v>3.34375</v>
      </c>
      <c r="M244" s="4">
        <f t="shared" si="6"/>
        <v>-0.07963866454</v>
      </c>
      <c r="N244" s="3" t="s">
        <v>39</v>
      </c>
    </row>
    <row r="245" ht="15.75" customHeight="1">
      <c r="A245" s="2" t="s">
        <v>38</v>
      </c>
      <c r="B245" s="3">
        <v>2.04680171E8</v>
      </c>
      <c r="C245" s="4">
        <v>32.34</v>
      </c>
      <c r="D245" s="4">
        <v>177.919</v>
      </c>
      <c r="E245" s="4">
        <v>60.667</v>
      </c>
      <c r="F245" s="5">
        <v>21.4</v>
      </c>
      <c r="G245" s="5">
        <v>6.4</v>
      </c>
      <c r="H245" s="4">
        <f t="shared" si="1"/>
        <v>3.88983751</v>
      </c>
      <c r="I245" s="4">
        <f t="shared" si="2"/>
        <v>3.411673562</v>
      </c>
      <c r="J245" s="4">
        <f t="shared" si="3"/>
        <v>3.650755536</v>
      </c>
      <c r="K245" s="4">
        <f t="shared" si="4"/>
        <v>2.932714655</v>
      </c>
      <c r="L245" s="4">
        <f t="shared" si="5"/>
        <v>3.34375</v>
      </c>
      <c r="M245" s="4">
        <f t="shared" si="6"/>
        <v>-0.1229264582</v>
      </c>
      <c r="N245" s="3" t="s">
        <v>39</v>
      </c>
    </row>
    <row r="246" ht="15.75" customHeight="1">
      <c r="A246" s="12" t="s">
        <v>38</v>
      </c>
      <c r="B246" s="10">
        <v>6.43774315E8</v>
      </c>
      <c r="C246" s="9">
        <v>58.924</v>
      </c>
      <c r="D246" s="9">
        <v>223.963</v>
      </c>
      <c r="E246" s="9">
        <v>76.213</v>
      </c>
      <c r="F246" s="5">
        <v>21.4</v>
      </c>
      <c r="G246" s="5">
        <v>6.4</v>
      </c>
      <c r="H246" s="4">
        <f t="shared" si="1"/>
        <v>5.63027643</v>
      </c>
      <c r="I246" s="4">
        <f t="shared" si="2"/>
        <v>4.948153202</v>
      </c>
      <c r="J246" s="4">
        <f t="shared" si="3"/>
        <v>5.289214816</v>
      </c>
      <c r="K246" s="4">
        <f t="shared" si="4"/>
        <v>2.938645638</v>
      </c>
      <c r="L246" s="4">
        <f t="shared" si="5"/>
        <v>3.34375</v>
      </c>
      <c r="M246" s="4">
        <f t="shared" si="6"/>
        <v>-0.1211527064</v>
      </c>
      <c r="N246" s="3" t="s">
        <v>39</v>
      </c>
    </row>
    <row r="247" ht="15.75" customHeight="1">
      <c r="A247" s="12" t="s">
        <v>38</v>
      </c>
      <c r="B247" s="10">
        <v>6.31038854E8</v>
      </c>
      <c r="C247" s="9">
        <v>41.934</v>
      </c>
      <c r="D247" s="9">
        <v>169.159</v>
      </c>
      <c r="E247" s="9">
        <v>59.559</v>
      </c>
      <c r="F247" s="5">
        <v>21.4</v>
      </c>
      <c r="G247" s="5">
        <v>6.4</v>
      </c>
      <c r="H247" s="4">
        <f t="shared" si="1"/>
        <v>5.304994709</v>
      </c>
      <c r="I247" s="4">
        <f t="shared" si="2"/>
        <v>4.506079686</v>
      </c>
      <c r="J247" s="4">
        <f t="shared" si="3"/>
        <v>4.905537197</v>
      </c>
      <c r="K247" s="4">
        <f t="shared" si="4"/>
        <v>2.840192078</v>
      </c>
      <c r="L247" s="4">
        <f t="shared" si="5"/>
        <v>3.34375</v>
      </c>
      <c r="M247" s="4">
        <f t="shared" si="6"/>
        <v>-0.1505967616</v>
      </c>
      <c r="N247" s="3" t="s">
        <v>39</v>
      </c>
    </row>
    <row r="248" ht="15.75" customHeight="1">
      <c r="A248" s="3" t="s">
        <v>38</v>
      </c>
      <c r="B248" s="10">
        <v>6.24331581E8</v>
      </c>
      <c r="C248" s="9">
        <v>41.669</v>
      </c>
      <c r="D248" s="9">
        <v>164.514</v>
      </c>
      <c r="E248" s="9">
        <v>48.302</v>
      </c>
      <c r="F248" s="5">
        <v>21.4</v>
      </c>
      <c r="G248" s="5">
        <v>6.4</v>
      </c>
      <c r="H248" s="4">
        <f t="shared" si="1"/>
        <v>5.420308302</v>
      </c>
      <c r="I248" s="4">
        <f t="shared" si="2"/>
        <v>5.52112956</v>
      </c>
      <c r="J248" s="4">
        <f t="shared" si="3"/>
        <v>5.470718931</v>
      </c>
      <c r="K248" s="4">
        <f t="shared" si="4"/>
        <v>3.405945924</v>
      </c>
      <c r="L248" s="4">
        <f t="shared" si="5"/>
        <v>3.34375</v>
      </c>
      <c r="M248" s="4">
        <f t="shared" si="6"/>
        <v>0.01860065004</v>
      </c>
      <c r="N248" s="3" t="s">
        <v>39</v>
      </c>
    </row>
    <row r="249" ht="15.75" customHeight="1">
      <c r="A249" s="3" t="s">
        <v>38</v>
      </c>
      <c r="B249" s="10">
        <v>4.59080401E8</v>
      </c>
      <c r="C249" s="9">
        <v>48.088</v>
      </c>
      <c r="D249" s="9">
        <v>199.842</v>
      </c>
      <c r="E249" s="9">
        <v>59.543</v>
      </c>
      <c r="F249" s="5">
        <v>21.4</v>
      </c>
      <c r="G249" s="5">
        <v>6.4</v>
      </c>
      <c r="H249" s="4">
        <f t="shared" si="1"/>
        <v>5.149484092</v>
      </c>
      <c r="I249" s="4">
        <f t="shared" si="2"/>
        <v>5.168755353</v>
      </c>
      <c r="J249" s="4">
        <f t="shared" si="3"/>
        <v>5.159119723</v>
      </c>
      <c r="K249" s="4">
        <f t="shared" si="4"/>
        <v>3.356263541</v>
      </c>
      <c r="L249" s="4">
        <f t="shared" si="5"/>
        <v>3.34375</v>
      </c>
      <c r="M249" s="4">
        <f t="shared" si="6"/>
        <v>0.003742367293</v>
      </c>
      <c r="N249" s="3" t="s">
        <v>39</v>
      </c>
    </row>
    <row r="250" ht="15.75" customHeight="1">
      <c r="A250" s="3" t="s">
        <v>40</v>
      </c>
      <c r="B250" s="3">
        <v>8.5336261E7</v>
      </c>
      <c r="C250" s="4">
        <v>50.491</v>
      </c>
      <c r="D250" s="4">
        <v>93.897</v>
      </c>
      <c r="E250" s="4">
        <v>42.007</v>
      </c>
      <c r="F250" s="5">
        <v>7.2</v>
      </c>
      <c r="G250" s="5">
        <v>2.9</v>
      </c>
      <c r="H250" s="4">
        <f t="shared" si="1"/>
        <v>3.871638072</v>
      </c>
      <c r="I250" s="4">
        <f t="shared" si="2"/>
        <v>3.485702383</v>
      </c>
      <c r="J250" s="4">
        <f t="shared" si="3"/>
        <v>3.678670227</v>
      </c>
      <c r="K250" s="4">
        <f t="shared" si="4"/>
        <v>2.235270312</v>
      </c>
      <c r="L250" s="4">
        <f t="shared" si="5"/>
        <v>2.482758621</v>
      </c>
      <c r="M250" s="4">
        <f t="shared" si="6"/>
        <v>-0.09968279096</v>
      </c>
      <c r="N250" s="3" t="s">
        <v>41</v>
      </c>
    </row>
    <row r="251" ht="15.75" customHeight="1">
      <c r="A251" s="3" t="s">
        <v>40</v>
      </c>
      <c r="B251" s="3">
        <v>2.20835471E8</v>
      </c>
      <c r="C251" s="4">
        <v>47.879</v>
      </c>
      <c r="D251" s="4">
        <v>109.239</v>
      </c>
      <c r="E251" s="4">
        <v>47.524</v>
      </c>
      <c r="F251" s="5">
        <v>7.2</v>
      </c>
      <c r="G251" s="5">
        <v>2.9</v>
      </c>
      <c r="H251" s="4">
        <f t="shared" si="1"/>
        <v>3.155730096</v>
      </c>
      <c r="I251" s="4">
        <f t="shared" si="2"/>
        <v>2.921662739</v>
      </c>
      <c r="J251" s="4">
        <f t="shared" si="3"/>
        <v>3.038696418</v>
      </c>
      <c r="K251" s="4">
        <f t="shared" si="4"/>
        <v>2.29860702</v>
      </c>
      <c r="L251" s="4">
        <f t="shared" si="5"/>
        <v>2.482758621</v>
      </c>
      <c r="M251" s="4">
        <f t="shared" si="6"/>
        <v>-0.07417217266</v>
      </c>
      <c r="N251" s="3" t="s">
        <v>41</v>
      </c>
    </row>
    <row r="252" ht="15.75" customHeight="1">
      <c r="A252" s="3" t="s">
        <v>40</v>
      </c>
      <c r="B252" s="3">
        <v>6.33270869E8</v>
      </c>
      <c r="C252" s="4">
        <v>36.612</v>
      </c>
      <c r="D252" s="4">
        <v>89.33</v>
      </c>
      <c r="E252" s="4">
        <v>34.275</v>
      </c>
      <c r="F252" s="5">
        <v>7.2</v>
      </c>
      <c r="G252" s="5">
        <v>2.9</v>
      </c>
      <c r="H252" s="4">
        <f t="shared" si="1"/>
        <v>2.95092802</v>
      </c>
      <c r="I252" s="4">
        <f t="shared" si="2"/>
        <v>3.097733042</v>
      </c>
      <c r="J252" s="4">
        <f t="shared" si="3"/>
        <v>3.024330531</v>
      </c>
      <c r="K252" s="4">
        <f t="shared" si="4"/>
        <v>2.606272794</v>
      </c>
      <c r="L252" s="4">
        <f t="shared" si="5"/>
        <v>2.482758621</v>
      </c>
      <c r="M252" s="4">
        <f t="shared" si="6"/>
        <v>0.04974876408</v>
      </c>
      <c r="N252" s="3" t="s">
        <v>41</v>
      </c>
    </row>
    <row r="253" ht="15.75" customHeight="1">
      <c r="A253" s="3" t="s">
        <v>40</v>
      </c>
      <c r="B253" s="3">
        <v>6.24113387E8</v>
      </c>
      <c r="C253" s="4">
        <v>55.346</v>
      </c>
      <c r="D253" s="4">
        <v>104.193</v>
      </c>
      <c r="E253" s="4">
        <v>45.353</v>
      </c>
      <c r="F253" s="5">
        <v>7.2</v>
      </c>
      <c r="G253" s="5">
        <v>2.9</v>
      </c>
      <c r="H253" s="4">
        <f t="shared" si="1"/>
        <v>3.824548674</v>
      </c>
      <c r="I253" s="4">
        <f t="shared" si="2"/>
        <v>3.538980883</v>
      </c>
      <c r="J253" s="4">
        <f t="shared" si="3"/>
        <v>3.681764779</v>
      </c>
      <c r="K253" s="4">
        <f t="shared" si="4"/>
        <v>2.297378343</v>
      </c>
      <c r="L253" s="4">
        <f t="shared" si="5"/>
        <v>2.482758621</v>
      </c>
      <c r="M253" s="4">
        <f t="shared" si="6"/>
        <v>-0.0746670562</v>
      </c>
      <c r="N253" s="3" t="s">
        <v>41</v>
      </c>
    </row>
    <row r="254" ht="15.75" customHeight="1">
      <c r="A254" s="3" t="s">
        <v>40</v>
      </c>
      <c r="B254" s="3">
        <v>6.46817481E8</v>
      </c>
      <c r="C254" s="4">
        <v>66.37</v>
      </c>
      <c r="D254" s="4">
        <v>122.148</v>
      </c>
      <c r="E254" s="4">
        <v>49.01</v>
      </c>
      <c r="F254" s="5">
        <v>7.2</v>
      </c>
      <c r="G254" s="5">
        <v>2.9</v>
      </c>
      <c r="H254" s="4">
        <f t="shared" si="1"/>
        <v>3.912172119</v>
      </c>
      <c r="I254" s="4">
        <f t="shared" si="2"/>
        <v>3.927218935</v>
      </c>
      <c r="J254" s="4">
        <f t="shared" si="3"/>
        <v>3.919695527</v>
      </c>
      <c r="K254" s="4">
        <f t="shared" si="4"/>
        <v>2.492307692</v>
      </c>
      <c r="L254" s="4">
        <f t="shared" si="5"/>
        <v>2.482758621</v>
      </c>
      <c r="M254" s="4">
        <f t="shared" si="6"/>
        <v>0.003846153846</v>
      </c>
      <c r="N254" s="3" t="s">
        <v>41</v>
      </c>
    </row>
    <row r="255" ht="15.75" customHeight="1">
      <c r="A255" s="3" t="s">
        <v>40</v>
      </c>
      <c r="B255" s="3">
        <v>6.42703027E8</v>
      </c>
      <c r="C255" s="4">
        <v>44.944</v>
      </c>
      <c r="D255" s="4">
        <v>96.686</v>
      </c>
      <c r="E255" s="4">
        <v>39.825</v>
      </c>
      <c r="F255" s="5">
        <v>7.2</v>
      </c>
      <c r="G255" s="5">
        <v>2.9</v>
      </c>
      <c r="H255" s="4">
        <f t="shared" si="1"/>
        <v>3.346883727</v>
      </c>
      <c r="I255" s="4">
        <f t="shared" si="2"/>
        <v>3.272758318</v>
      </c>
      <c r="J255" s="4">
        <f t="shared" si="3"/>
        <v>3.309821022</v>
      </c>
      <c r="K255" s="4">
        <f t="shared" si="4"/>
        <v>2.4277715</v>
      </c>
      <c r="L255" s="4">
        <f t="shared" si="5"/>
        <v>2.482758621</v>
      </c>
      <c r="M255" s="4">
        <f t="shared" si="6"/>
        <v>-0.02214759015</v>
      </c>
      <c r="N255" s="3" t="s">
        <v>41</v>
      </c>
    </row>
    <row r="256" ht="15.75" customHeight="1">
      <c r="A256" s="3" t="s">
        <v>40</v>
      </c>
      <c r="B256" s="3">
        <v>6.16746551E8</v>
      </c>
      <c r="C256" s="4">
        <v>61.717</v>
      </c>
      <c r="D256" s="4">
        <v>109.574</v>
      </c>
      <c r="E256" s="4">
        <v>48.826</v>
      </c>
      <c r="F256" s="5">
        <v>7.2</v>
      </c>
      <c r="G256" s="5">
        <v>2.9</v>
      </c>
      <c r="H256" s="4">
        <f t="shared" si="1"/>
        <v>4.055363499</v>
      </c>
      <c r="I256" s="4">
        <f t="shared" si="2"/>
        <v>3.665655593</v>
      </c>
      <c r="J256" s="4">
        <f t="shared" si="3"/>
        <v>3.860509546</v>
      </c>
      <c r="K256" s="4">
        <f t="shared" si="4"/>
        <v>2.244173186</v>
      </c>
      <c r="L256" s="4">
        <f t="shared" si="5"/>
        <v>2.482758621</v>
      </c>
      <c r="M256" s="4">
        <f t="shared" si="6"/>
        <v>-0.09609691103</v>
      </c>
      <c r="N256" s="3" t="s">
        <v>41</v>
      </c>
    </row>
    <row r="257" ht="15.75" customHeight="1">
      <c r="A257" s="3" t="s">
        <v>40</v>
      </c>
      <c r="B257" s="3">
        <v>6.11688812E8</v>
      </c>
      <c r="C257" s="4">
        <v>48.116</v>
      </c>
      <c r="D257" s="4">
        <v>102.611</v>
      </c>
      <c r="E257" s="4">
        <v>42.755</v>
      </c>
      <c r="F257" s="5">
        <v>7.2</v>
      </c>
      <c r="G257" s="5">
        <v>2.9</v>
      </c>
      <c r="H257" s="4">
        <f t="shared" si="1"/>
        <v>3.376199433</v>
      </c>
      <c r="I257" s="4">
        <f t="shared" si="2"/>
        <v>3.263627646</v>
      </c>
      <c r="J257" s="4">
        <f t="shared" si="3"/>
        <v>3.319913539</v>
      </c>
      <c r="K257" s="4">
        <f t="shared" si="4"/>
        <v>2.399976611</v>
      </c>
      <c r="L257" s="4">
        <f t="shared" si="5"/>
        <v>2.482758621</v>
      </c>
      <c r="M257" s="4">
        <f t="shared" si="6"/>
        <v>-0.03334275393</v>
      </c>
      <c r="N257" s="3" t="s">
        <v>41</v>
      </c>
    </row>
    <row r="258" ht="15.75" customHeight="1">
      <c r="A258" s="3" t="s">
        <v>40</v>
      </c>
      <c r="B258" s="3">
        <v>2.22892821E8</v>
      </c>
      <c r="C258" s="4">
        <v>39.624</v>
      </c>
      <c r="D258" s="4">
        <v>89.115</v>
      </c>
      <c r="E258" s="4">
        <v>39.24</v>
      </c>
      <c r="F258" s="5">
        <v>7.2</v>
      </c>
      <c r="G258" s="5">
        <v>2.9</v>
      </c>
      <c r="H258" s="4">
        <f t="shared" si="1"/>
        <v>3.201400438</v>
      </c>
      <c r="I258" s="4">
        <f t="shared" si="2"/>
        <v>2.928379205</v>
      </c>
      <c r="J258" s="4">
        <f t="shared" si="3"/>
        <v>3.064889821</v>
      </c>
      <c r="K258" s="4">
        <f t="shared" si="4"/>
        <v>2.271024465</v>
      </c>
      <c r="L258" s="4">
        <f t="shared" si="5"/>
        <v>2.482758621</v>
      </c>
      <c r="M258" s="4">
        <f t="shared" si="6"/>
        <v>-0.08528181278</v>
      </c>
      <c r="N258" s="3" t="s">
        <v>41</v>
      </c>
    </row>
    <row r="259" ht="15.75" customHeight="1">
      <c r="A259" s="2" t="s">
        <v>40</v>
      </c>
      <c r="B259" s="3">
        <v>5.7506381E7</v>
      </c>
      <c r="C259" s="4">
        <v>35.544</v>
      </c>
      <c r="D259" s="4">
        <v>62.357</v>
      </c>
      <c r="E259" s="4">
        <v>28.459</v>
      </c>
      <c r="F259" s="5">
        <v>7.2</v>
      </c>
      <c r="G259" s="5">
        <v>2.9</v>
      </c>
      <c r="H259" s="4">
        <f t="shared" si="1"/>
        <v>4.104058887</v>
      </c>
      <c r="I259" s="4">
        <f t="shared" si="2"/>
        <v>3.621968446</v>
      </c>
      <c r="J259" s="4">
        <f t="shared" si="3"/>
        <v>3.863013666</v>
      </c>
      <c r="K259" s="4">
        <f t="shared" si="4"/>
        <v>2.191117046</v>
      </c>
      <c r="L259" s="4">
        <f t="shared" si="5"/>
        <v>2.482758621</v>
      </c>
      <c r="M259" s="4">
        <f t="shared" si="6"/>
        <v>-0.1174667455</v>
      </c>
      <c r="N259" s="3" t="s">
        <v>41</v>
      </c>
    </row>
    <row r="260" ht="15.75" customHeight="1">
      <c r="A260" s="3" t="s">
        <v>40</v>
      </c>
      <c r="B260" s="3">
        <v>6.18961623E8</v>
      </c>
      <c r="C260" s="4">
        <v>45.014</v>
      </c>
      <c r="D260" s="4">
        <v>93.098</v>
      </c>
      <c r="E260" s="4">
        <v>41.451</v>
      </c>
      <c r="F260" s="5">
        <v>7.2</v>
      </c>
      <c r="G260" s="5">
        <v>2.9</v>
      </c>
      <c r="H260" s="4">
        <f t="shared" si="1"/>
        <v>3.481286386</v>
      </c>
      <c r="I260" s="4">
        <f t="shared" si="2"/>
        <v>3.149275048</v>
      </c>
      <c r="J260" s="4">
        <f t="shared" si="3"/>
        <v>3.315280717</v>
      </c>
      <c r="K260" s="4">
        <f t="shared" si="4"/>
        <v>2.245977178</v>
      </c>
      <c r="L260" s="4">
        <f t="shared" si="5"/>
        <v>2.482758621</v>
      </c>
      <c r="M260" s="4">
        <f t="shared" si="6"/>
        <v>-0.09537030336</v>
      </c>
      <c r="N260" s="3" t="s">
        <v>41</v>
      </c>
    </row>
    <row r="261" ht="15.75" customHeight="1">
      <c r="A261" s="3" t="s">
        <v>40</v>
      </c>
      <c r="B261" s="3">
        <v>2.88690811E8</v>
      </c>
      <c r="C261" s="4">
        <v>45.375</v>
      </c>
      <c r="D261" s="4">
        <v>94.501</v>
      </c>
      <c r="E261" s="4">
        <v>40.512</v>
      </c>
      <c r="F261" s="5">
        <v>7.2</v>
      </c>
      <c r="G261" s="5">
        <v>2.9</v>
      </c>
      <c r="H261" s="4">
        <f t="shared" si="1"/>
        <v>3.457106274</v>
      </c>
      <c r="I261" s="4">
        <f t="shared" si="2"/>
        <v>3.248111671</v>
      </c>
      <c r="J261" s="4">
        <f t="shared" si="3"/>
        <v>3.352608972</v>
      </c>
      <c r="K261" s="4">
        <f t="shared" si="4"/>
        <v>2.332666864</v>
      </c>
      <c r="L261" s="4">
        <f t="shared" si="5"/>
        <v>2.482758621</v>
      </c>
      <c r="M261" s="4">
        <f t="shared" si="6"/>
        <v>-0.06045362417</v>
      </c>
      <c r="N261" s="3" t="s">
        <v>41</v>
      </c>
    </row>
    <row r="262" ht="15.75" customHeight="1">
      <c r="A262" s="6" t="s">
        <v>40</v>
      </c>
      <c r="B262" s="3">
        <v>6.10932121E8</v>
      </c>
      <c r="C262" s="4">
        <v>57.459</v>
      </c>
      <c r="D262" s="4">
        <v>108.74</v>
      </c>
      <c r="E262" s="4">
        <v>54.083</v>
      </c>
      <c r="F262" s="5">
        <v>7.2</v>
      </c>
      <c r="G262" s="5">
        <v>2.9</v>
      </c>
      <c r="H262" s="4">
        <f t="shared" si="1"/>
        <v>3.804531911</v>
      </c>
      <c r="I262" s="4">
        <f t="shared" si="2"/>
        <v>3.081025461</v>
      </c>
      <c r="J262" s="4">
        <f t="shared" si="3"/>
        <v>3.442778686</v>
      </c>
      <c r="K262" s="4">
        <f t="shared" si="4"/>
        <v>2.010613317</v>
      </c>
      <c r="L262" s="4">
        <f t="shared" si="5"/>
        <v>2.482758621</v>
      </c>
      <c r="M262" s="4">
        <f t="shared" si="6"/>
        <v>-0.1901696364</v>
      </c>
      <c r="N262" s="3" t="s">
        <v>41</v>
      </c>
    </row>
    <row r="263" ht="15.75" customHeight="1">
      <c r="A263" s="2" t="s">
        <v>40</v>
      </c>
      <c r="B263" s="3">
        <v>6.38053744E8</v>
      </c>
      <c r="C263" s="4">
        <v>35.511</v>
      </c>
      <c r="D263" s="4">
        <v>83.478</v>
      </c>
      <c r="E263" s="4">
        <v>39.0</v>
      </c>
      <c r="F263" s="5">
        <v>7.2</v>
      </c>
      <c r="G263" s="5">
        <v>2.9</v>
      </c>
      <c r="H263" s="4">
        <f t="shared" si="1"/>
        <v>3.062833321</v>
      </c>
      <c r="I263" s="4">
        <f t="shared" si="2"/>
        <v>2.640561538</v>
      </c>
      <c r="J263" s="4">
        <f t="shared" si="3"/>
        <v>2.85169743</v>
      </c>
      <c r="K263" s="4">
        <f t="shared" si="4"/>
        <v>2.140461538</v>
      </c>
      <c r="L263" s="4">
        <f t="shared" si="5"/>
        <v>2.482758621</v>
      </c>
      <c r="M263" s="4">
        <f t="shared" si="6"/>
        <v>-0.1378696581</v>
      </c>
      <c r="N263" s="3" t="s">
        <v>41</v>
      </c>
    </row>
    <row r="264" ht="15.75" customHeight="1">
      <c r="A264" s="3" t="s">
        <v>40</v>
      </c>
      <c r="B264" s="3">
        <v>5.57931831E8</v>
      </c>
      <c r="C264" s="4">
        <v>33.193</v>
      </c>
      <c r="D264" s="4">
        <v>87.28</v>
      </c>
      <c r="E264" s="4">
        <v>34.759</v>
      </c>
      <c r="F264" s="5">
        <v>7.2</v>
      </c>
      <c r="G264" s="5">
        <v>2.9</v>
      </c>
      <c r="H264" s="4">
        <f t="shared" si="1"/>
        <v>2.738194317</v>
      </c>
      <c r="I264" s="4">
        <f t="shared" si="2"/>
        <v>2.769346069</v>
      </c>
      <c r="J264" s="4">
        <f t="shared" si="3"/>
        <v>2.753770193</v>
      </c>
      <c r="K264" s="4">
        <f t="shared" si="4"/>
        <v>2.511004344</v>
      </c>
      <c r="L264" s="4">
        <f t="shared" si="5"/>
        <v>2.482758621</v>
      </c>
      <c r="M264" s="4">
        <f t="shared" si="6"/>
        <v>0.01137674975</v>
      </c>
      <c r="N264" s="3" t="s">
        <v>41</v>
      </c>
    </row>
    <row r="265" ht="15.75" customHeight="1">
      <c r="A265" s="3" t="s">
        <v>42</v>
      </c>
      <c r="B265" s="3">
        <v>2.92313181E8</v>
      </c>
      <c r="C265" s="4">
        <v>48.51</v>
      </c>
      <c r="D265" s="4">
        <v>135.906</v>
      </c>
      <c r="E265" s="4">
        <v>92.566</v>
      </c>
      <c r="F265" s="5">
        <v>11.6</v>
      </c>
      <c r="G265" s="5">
        <v>8.4</v>
      </c>
      <c r="H265" s="4">
        <f t="shared" si="1"/>
        <v>4.140479449</v>
      </c>
      <c r="I265" s="4">
        <f t="shared" si="2"/>
        <v>4.402091481</v>
      </c>
      <c r="J265" s="4">
        <f t="shared" si="3"/>
        <v>4.271285465</v>
      </c>
      <c r="K265" s="4">
        <f t="shared" si="4"/>
        <v>1.468206469</v>
      </c>
      <c r="L265" s="4">
        <f t="shared" si="5"/>
        <v>1.380952381</v>
      </c>
      <c r="M265" s="4">
        <f t="shared" si="6"/>
        <v>0.06318399472</v>
      </c>
      <c r="N265" s="3" t="s">
        <v>43</v>
      </c>
    </row>
    <row r="266" ht="15.75" customHeight="1">
      <c r="A266" s="2" t="s">
        <v>42</v>
      </c>
      <c r="B266" s="3">
        <v>5.10954401E8</v>
      </c>
      <c r="C266" s="4">
        <v>57.195</v>
      </c>
      <c r="D266" s="4">
        <v>139.759</v>
      </c>
      <c r="E266" s="4">
        <v>115.976</v>
      </c>
      <c r="F266" s="5">
        <v>11.6</v>
      </c>
      <c r="G266" s="5">
        <v>8.4</v>
      </c>
      <c r="H266" s="4">
        <f t="shared" si="1"/>
        <v>4.747186228</v>
      </c>
      <c r="I266" s="4">
        <f t="shared" si="2"/>
        <v>4.142563979</v>
      </c>
      <c r="J266" s="4">
        <f t="shared" si="3"/>
        <v>4.444875103</v>
      </c>
      <c r="K266" s="4">
        <f t="shared" si="4"/>
        <v>1.20506829</v>
      </c>
      <c r="L266" s="4">
        <f t="shared" si="5"/>
        <v>1.380952381</v>
      </c>
      <c r="M266" s="4">
        <f t="shared" si="6"/>
        <v>-0.1273643417</v>
      </c>
      <c r="N266" s="3" t="s">
        <v>43</v>
      </c>
    </row>
    <row r="267" ht="15.75" customHeight="1">
      <c r="A267" s="3" t="s">
        <v>42</v>
      </c>
      <c r="B267" s="3">
        <v>4.97625271E8</v>
      </c>
      <c r="C267" s="4">
        <v>40.783</v>
      </c>
      <c r="D267" s="4">
        <v>122.9</v>
      </c>
      <c r="E267" s="4">
        <v>89.535</v>
      </c>
      <c r="F267" s="5">
        <v>11.6</v>
      </c>
      <c r="G267" s="5">
        <v>8.4</v>
      </c>
      <c r="H267" s="4">
        <f t="shared" si="1"/>
        <v>3.849331164</v>
      </c>
      <c r="I267" s="4">
        <f t="shared" si="2"/>
        <v>3.82618194</v>
      </c>
      <c r="J267" s="4">
        <f t="shared" si="3"/>
        <v>3.837756552</v>
      </c>
      <c r="K267" s="4">
        <f t="shared" si="4"/>
        <v>1.372647568</v>
      </c>
      <c r="L267" s="4">
        <f t="shared" si="5"/>
        <v>1.380952381</v>
      </c>
      <c r="M267" s="4">
        <f t="shared" si="6"/>
        <v>-0.006013830076</v>
      </c>
      <c r="N267" s="3" t="s">
        <v>43</v>
      </c>
    </row>
    <row r="268" ht="15.75" customHeight="1">
      <c r="A268" s="3" t="s">
        <v>42</v>
      </c>
      <c r="B268" s="3">
        <v>6.23397157E8</v>
      </c>
      <c r="C268" s="4">
        <v>47.724</v>
      </c>
      <c r="D268" s="4">
        <v>121.993</v>
      </c>
      <c r="E268" s="4">
        <v>87.707</v>
      </c>
      <c r="F268" s="5">
        <v>11.6</v>
      </c>
      <c r="G268" s="5">
        <v>8.4</v>
      </c>
      <c r="H268" s="4">
        <f t="shared" si="1"/>
        <v>4.537952178</v>
      </c>
      <c r="I268" s="4">
        <f t="shared" si="2"/>
        <v>4.570691051</v>
      </c>
      <c r="J268" s="4">
        <f t="shared" si="3"/>
        <v>4.554321614</v>
      </c>
      <c r="K268" s="4">
        <f t="shared" si="4"/>
        <v>1.390915206</v>
      </c>
      <c r="L268" s="4">
        <f t="shared" si="5"/>
        <v>1.380952381</v>
      </c>
      <c r="M268" s="4">
        <f t="shared" si="6"/>
        <v>0.007214459743</v>
      </c>
      <c r="N268" s="3" t="s">
        <v>43</v>
      </c>
    </row>
    <row r="269" ht="15.75" customHeight="1">
      <c r="A269" s="3" t="s">
        <v>42</v>
      </c>
      <c r="B269" s="3">
        <v>6.21230023E8</v>
      </c>
      <c r="C269" s="4">
        <v>34.019</v>
      </c>
      <c r="D269" s="4">
        <v>111.356</v>
      </c>
      <c r="E269" s="4">
        <v>73.268</v>
      </c>
      <c r="F269" s="5">
        <v>11.6</v>
      </c>
      <c r="G269" s="5">
        <v>8.4</v>
      </c>
      <c r="H269" s="4">
        <f t="shared" si="1"/>
        <v>3.543773124</v>
      </c>
      <c r="I269" s="4">
        <f t="shared" si="2"/>
        <v>3.900196539</v>
      </c>
      <c r="J269" s="4">
        <f t="shared" si="3"/>
        <v>3.721984831</v>
      </c>
      <c r="K269" s="4">
        <f t="shared" si="4"/>
        <v>1.519844953</v>
      </c>
      <c r="L269" s="4">
        <f t="shared" si="5"/>
        <v>1.380952381</v>
      </c>
      <c r="M269" s="4">
        <f t="shared" si="6"/>
        <v>0.1005773796</v>
      </c>
      <c r="N269" s="3" t="s">
        <v>43</v>
      </c>
    </row>
    <row r="270" ht="15.75" customHeight="1">
      <c r="A270" s="3" t="s">
        <v>42</v>
      </c>
      <c r="B270" s="3">
        <v>6.14012866E8</v>
      </c>
      <c r="C270" s="4">
        <v>43.333</v>
      </c>
      <c r="D270" s="4">
        <v>143.577</v>
      </c>
      <c r="E270" s="4">
        <v>102.528</v>
      </c>
      <c r="F270" s="5">
        <v>11.6</v>
      </c>
      <c r="G270" s="5">
        <v>8.4</v>
      </c>
      <c r="H270" s="4">
        <f t="shared" si="1"/>
        <v>3.500998071</v>
      </c>
      <c r="I270" s="4">
        <f t="shared" si="2"/>
        <v>3.550222378</v>
      </c>
      <c r="J270" s="4">
        <f t="shared" si="3"/>
        <v>3.525610224</v>
      </c>
      <c r="K270" s="4">
        <f t="shared" si="4"/>
        <v>1.40036868</v>
      </c>
      <c r="L270" s="4">
        <f t="shared" si="5"/>
        <v>1.380952381</v>
      </c>
      <c r="M270" s="4">
        <f t="shared" si="6"/>
        <v>0.01406007846</v>
      </c>
      <c r="N270" s="3" t="s">
        <v>43</v>
      </c>
    </row>
    <row r="271" ht="15.75" customHeight="1">
      <c r="A271" s="3" t="s">
        <v>42</v>
      </c>
      <c r="B271" s="3">
        <v>1.96974361E8</v>
      </c>
      <c r="C271" s="4">
        <v>51.77</v>
      </c>
      <c r="D271" s="4">
        <v>126.753</v>
      </c>
      <c r="E271" s="4">
        <v>99.02</v>
      </c>
      <c r="F271" s="5">
        <v>11.6</v>
      </c>
      <c r="G271" s="5">
        <v>8.4</v>
      </c>
      <c r="H271" s="4">
        <f t="shared" si="1"/>
        <v>4.737812912</v>
      </c>
      <c r="I271" s="4">
        <f t="shared" si="2"/>
        <v>4.391718845</v>
      </c>
      <c r="J271" s="4">
        <f t="shared" si="3"/>
        <v>4.564765878</v>
      </c>
      <c r="K271" s="4">
        <f t="shared" si="4"/>
        <v>1.280074732</v>
      </c>
      <c r="L271" s="4">
        <f t="shared" si="5"/>
        <v>1.380952381</v>
      </c>
      <c r="M271" s="4">
        <f t="shared" si="6"/>
        <v>-0.07304933173</v>
      </c>
      <c r="N271" s="3" t="s">
        <v>43</v>
      </c>
    </row>
    <row r="272" ht="15.75" customHeight="1">
      <c r="A272" s="3" t="s">
        <v>42</v>
      </c>
      <c r="B272" s="3">
        <v>6.31390888E8</v>
      </c>
      <c r="C272" s="4">
        <v>36.211</v>
      </c>
      <c r="D272" s="4">
        <v>84.793</v>
      </c>
      <c r="E272" s="4">
        <v>65.106</v>
      </c>
      <c r="F272" s="5">
        <v>11.6</v>
      </c>
      <c r="G272" s="5">
        <v>8.4</v>
      </c>
      <c r="H272" s="4">
        <f t="shared" si="1"/>
        <v>4.953800432</v>
      </c>
      <c r="I272" s="4">
        <f t="shared" si="2"/>
        <v>4.671956502</v>
      </c>
      <c r="J272" s="4">
        <f t="shared" si="3"/>
        <v>4.812878467</v>
      </c>
      <c r="K272" s="4">
        <f t="shared" si="4"/>
        <v>1.302383805</v>
      </c>
      <c r="L272" s="4">
        <f t="shared" si="5"/>
        <v>1.380952381</v>
      </c>
      <c r="M272" s="4">
        <f t="shared" si="6"/>
        <v>-0.05689448613</v>
      </c>
      <c r="N272" s="3" t="s">
        <v>43</v>
      </c>
    </row>
    <row r="273" ht="15.75" customHeight="1">
      <c r="A273" s="6" t="s">
        <v>42</v>
      </c>
      <c r="B273" s="3">
        <v>6.14697729E8</v>
      </c>
      <c r="C273" s="4">
        <v>41.636</v>
      </c>
      <c r="D273" s="4">
        <v>117.882</v>
      </c>
      <c r="E273" s="4">
        <v>73.139</v>
      </c>
      <c r="F273" s="5">
        <v>11.6</v>
      </c>
      <c r="G273" s="5">
        <v>8.4</v>
      </c>
      <c r="H273" s="4">
        <f t="shared" si="1"/>
        <v>4.097127636</v>
      </c>
      <c r="I273" s="4">
        <f t="shared" si="2"/>
        <v>4.781886545</v>
      </c>
      <c r="J273" s="4">
        <f t="shared" si="3"/>
        <v>4.43950709</v>
      </c>
      <c r="K273" s="4">
        <f t="shared" si="4"/>
        <v>1.611752964</v>
      </c>
      <c r="L273" s="4">
        <f t="shared" si="5"/>
        <v>1.380952381</v>
      </c>
      <c r="M273" s="4">
        <f t="shared" si="6"/>
        <v>0.1671314564</v>
      </c>
      <c r="N273" s="3" t="s">
        <v>43</v>
      </c>
    </row>
    <row r="274" ht="15.75" customHeight="1">
      <c r="A274" s="3" t="s">
        <v>42</v>
      </c>
      <c r="B274" s="3">
        <v>5.24687601E8</v>
      </c>
      <c r="C274" s="4">
        <v>38.195</v>
      </c>
      <c r="D274" s="4">
        <v>146.263</v>
      </c>
      <c r="E274" s="4">
        <v>96.54</v>
      </c>
      <c r="F274" s="5">
        <v>11.6</v>
      </c>
      <c r="G274" s="5">
        <v>8.4</v>
      </c>
      <c r="H274" s="4">
        <f t="shared" si="1"/>
        <v>3.029214497</v>
      </c>
      <c r="I274" s="4">
        <f t="shared" si="2"/>
        <v>3.323368552</v>
      </c>
      <c r="J274" s="4">
        <f t="shared" si="3"/>
        <v>3.176291525</v>
      </c>
      <c r="K274" s="4">
        <f t="shared" si="4"/>
        <v>1.515050756</v>
      </c>
      <c r="L274" s="4">
        <f t="shared" si="5"/>
        <v>1.380952381</v>
      </c>
      <c r="M274" s="4">
        <f t="shared" si="6"/>
        <v>0.09710571998</v>
      </c>
      <c r="N274" s="3" t="s">
        <v>43</v>
      </c>
    </row>
    <row r="275" ht="15.75" customHeight="1">
      <c r="A275" s="3" t="s">
        <v>42</v>
      </c>
      <c r="B275" s="3">
        <v>5.43535711E8</v>
      </c>
      <c r="C275" s="4">
        <v>41.753</v>
      </c>
      <c r="D275" s="4">
        <v>113.868</v>
      </c>
      <c r="E275" s="4">
        <v>81.707</v>
      </c>
      <c r="F275" s="5">
        <v>11.6</v>
      </c>
      <c r="G275" s="5">
        <v>8.4</v>
      </c>
      <c r="H275" s="4">
        <f t="shared" si="1"/>
        <v>4.253475955</v>
      </c>
      <c r="I275" s="4">
        <f t="shared" si="2"/>
        <v>4.292474329</v>
      </c>
      <c r="J275" s="4">
        <f t="shared" si="3"/>
        <v>4.272975142</v>
      </c>
      <c r="K275" s="4">
        <f t="shared" si="4"/>
        <v>1.393613766</v>
      </c>
      <c r="L275" s="4">
        <f t="shared" si="5"/>
        <v>1.380952381</v>
      </c>
      <c r="M275" s="4">
        <f t="shared" si="6"/>
        <v>0.009168589362</v>
      </c>
      <c r="N275" s="3" t="s">
        <v>43</v>
      </c>
    </row>
    <row r="276" ht="15.75" customHeight="1">
      <c r="A276" s="3" t="s">
        <v>42</v>
      </c>
      <c r="B276" s="3">
        <v>5.04858641E8</v>
      </c>
      <c r="C276" s="4">
        <v>43.34</v>
      </c>
      <c r="D276" s="4">
        <v>149.694</v>
      </c>
      <c r="E276" s="4">
        <v>103.6</v>
      </c>
      <c r="F276" s="5">
        <v>11.6</v>
      </c>
      <c r="G276" s="5">
        <v>8.4</v>
      </c>
      <c r="H276" s="4">
        <f t="shared" si="1"/>
        <v>3.358477962</v>
      </c>
      <c r="I276" s="4">
        <f t="shared" si="2"/>
        <v>3.514054054</v>
      </c>
      <c r="J276" s="4">
        <f t="shared" si="3"/>
        <v>3.436266008</v>
      </c>
      <c r="K276" s="4">
        <f t="shared" si="4"/>
        <v>1.44492278</v>
      </c>
      <c r="L276" s="4">
        <f t="shared" si="5"/>
        <v>1.380952381</v>
      </c>
      <c r="M276" s="4">
        <f t="shared" si="6"/>
        <v>0.04632339236</v>
      </c>
      <c r="N276" s="3" t="s">
        <v>43</v>
      </c>
    </row>
    <row r="277" ht="15.75" customHeight="1">
      <c r="A277" s="3" t="s">
        <v>44</v>
      </c>
      <c r="B277" s="3">
        <v>4.29588431E8</v>
      </c>
      <c r="C277" s="4">
        <v>38.03</v>
      </c>
      <c r="D277" s="4">
        <v>63.578</v>
      </c>
      <c r="E277" s="4">
        <v>56.777</v>
      </c>
      <c r="F277" s="5">
        <v>10.9</v>
      </c>
      <c r="G277" s="5">
        <v>9.5</v>
      </c>
      <c r="H277" s="4">
        <f t="shared" si="1"/>
        <v>6.519975463</v>
      </c>
      <c r="I277" s="4">
        <f t="shared" si="2"/>
        <v>6.363228068</v>
      </c>
      <c r="J277" s="4">
        <f t="shared" si="3"/>
        <v>6.441601765</v>
      </c>
      <c r="K277" s="4">
        <f t="shared" si="4"/>
        <v>1.11978442</v>
      </c>
      <c r="L277" s="4">
        <f t="shared" si="5"/>
        <v>1.147368421</v>
      </c>
      <c r="M277" s="4">
        <f t="shared" si="6"/>
        <v>-0.02404110205</v>
      </c>
      <c r="N277" s="3" t="s">
        <v>45</v>
      </c>
    </row>
    <row r="278" ht="15.75" customHeight="1">
      <c r="A278" s="3" t="s">
        <v>44</v>
      </c>
      <c r="B278" s="3">
        <v>6.03911331E8</v>
      </c>
      <c r="C278" s="4">
        <v>44.167</v>
      </c>
      <c r="D278" s="4">
        <v>66.319</v>
      </c>
      <c r="E278" s="4">
        <v>54.255</v>
      </c>
      <c r="F278" s="5">
        <v>10.9</v>
      </c>
      <c r="G278" s="5">
        <v>9.5</v>
      </c>
      <c r="H278" s="4">
        <f t="shared" si="1"/>
        <v>7.259161025</v>
      </c>
      <c r="I278" s="4">
        <f t="shared" si="2"/>
        <v>7.73360059</v>
      </c>
      <c r="J278" s="4">
        <f t="shared" si="3"/>
        <v>7.496380807</v>
      </c>
      <c r="K278" s="4">
        <f t="shared" si="4"/>
        <v>1.222357386</v>
      </c>
      <c r="L278" s="4">
        <f t="shared" si="5"/>
        <v>1.147368421</v>
      </c>
      <c r="M278" s="4">
        <f t="shared" si="6"/>
        <v>0.06535735513</v>
      </c>
      <c r="N278" s="3" t="s">
        <v>45</v>
      </c>
    </row>
    <row r="279" ht="15.75" customHeight="1">
      <c r="A279" s="3" t="s">
        <v>44</v>
      </c>
      <c r="B279" s="3">
        <v>6.36489414E8</v>
      </c>
      <c r="C279" s="4">
        <v>36.952</v>
      </c>
      <c r="D279" s="4">
        <v>63.423</v>
      </c>
      <c r="E279" s="4">
        <v>51.0</v>
      </c>
      <c r="F279" s="5">
        <v>10.9</v>
      </c>
      <c r="G279" s="5">
        <v>9.5</v>
      </c>
      <c r="H279" s="4">
        <f t="shared" si="1"/>
        <v>6.350642511</v>
      </c>
      <c r="I279" s="4">
        <f t="shared" si="2"/>
        <v>6.883215686</v>
      </c>
      <c r="J279" s="4">
        <f t="shared" si="3"/>
        <v>6.616929099</v>
      </c>
      <c r="K279" s="4">
        <f t="shared" si="4"/>
        <v>1.243588235</v>
      </c>
      <c r="L279" s="4">
        <f t="shared" si="5"/>
        <v>1.147368421</v>
      </c>
      <c r="M279" s="4">
        <f t="shared" si="6"/>
        <v>0.08386130599</v>
      </c>
      <c r="N279" s="3" t="s">
        <v>45</v>
      </c>
    </row>
    <row r="280" ht="15.75" customHeight="1">
      <c r="A280" s="2" t="s">
        <v>44</v>
      </c>
      <c r="B280" s="3">
        <v>4.18049331E8</v>
      </c>
      <c r="C280" s="4">
        <v>51.351</v>
      </c>
      <c r="D280" s="4">
        <v>77.93</v>
      </c>
      <c r="E280" s="4">
        <v>76.424</v>
      </c>
      <c r="F280" s="5">
        <v>10.9</v>
      </c>
      <c r="G280" s="5">
        <v>9.5</v>
      </c>
      <c r="H280" s="4">
        <f t="shared" si="1"/>
        <v>7.182418837</v>
      </c>
      <c r="I280" s="4">
        <f t="shared" si="2"/>
        <v>6.383263111</v>
      </c>
      <c r="J280" s="4">
        <f t="shared" si="3"/>
        <v>6.782840974</v>
      </c>
      <c r="K280" s="4">
        <f t="shared" si="4"/>
        <v>1.019705852</v>
      </c>
      <c r="L280" s="4">
        <f t="shared" si="5"/>
        <v>1.147368421</v>
      </c>
      <c r="M280" s="4">
        <f t="shared" si="6"/>
        <v>-0.1112655422</v>
      </c>
      <c r="N280" s="3" t="s">
        <v>45</v>
      </c>
    </row>
    <row r="281" ht="15.75" customHeight="1">
      <c r="A281" s="2" t="s">
        <v>44</v>
      </c>
      <c r="B281" s="3">
        <v>3.16143781E8</v>
      </c>
      <c r="C281" s="4">
        <v>37.165</v>
      </c>
      <c r="D281" s="4">
        <v>61.265</v>
      </c>
      <c r="E281" s="4">
        <v>47.834</v>
      </c>
      <c r="F281" s="5">
        <v>10.9</v>
      </c>
      <c r="G281" s="5">
        <v>9.5</v>
      </c>
      <c r="H281" s="4">
        <f t="shared" si="1"/>
        <v>6.612233739</v>
      </c>
      <c r="I281" s="4">
        <f t="shared" si="2"/>
        <v>7.381099218</v>
      </c>
      <c r="J281" s="4">
        <f t="shared" si="3"/>
        <v>6.996666478</v>
      </c>
      <c r="K281" s="4">
        <f t="shared" si="4"/>
        <v>1.280783543</v>
      </c>
      <c r="L281" s="4">
        <f t="shared" si="5"/>
        <v>1.147368421</v>
      </c>
      <c r="M281" s="4">
        <f t="shared" si="6"/>
        <v>0.1162792348</v>
      </c>
      <c r="N281" s="3" t="s">
        <v>45</v>
      </c>
    </row>
    <row r="282" ht="15.75" customHeight="1">
      <c r="A282" s="2" t="s">
        <v>44</v>
      </c>
      <c r="B282" s="3">
        <v>1.36024851E8</v>
      </c>
      <c r="C282" s="4">
        <v>36.253</v>
      </c>
      <c r="D282" s="4">
        <v>54.25</v>
      </c>
      <c r="E282" s="4">
        <v>55.413</v>
      </c>
      <c r="F282" s="5">
        <v>10.9</v>
      </c>
      <c r="G282" s="5">
        <v>9.5</v>
      </c>
      <c r="H282" s="4">
        <f t="shared" si="1"/>
        <v>7.284012903</v>
      </c>
      <c r="I282" s="4">
        <f t="shared" si="2"/>
        <v>6.215211232</v>
      </c>
      <c r="J282" s="4">
        <f t="shared" si="3"/>
        <v>6.749612068</v>
      </c>
      <c r="K282" s="4">
        <f t="shared" si="4"/>
        <v>0.9790121452</v>
      </c>
      <c r="L282" s="4">
        <f t="shared" si="5"/>
        <v>1.147368421</v>
      </c>
      <c r="M282" s="4">
        <f t="shared" si="6"/>
        <v>-0.146732534</v>
      </c>
      <c r="N282" s="3" t="s">
        <v>45</v>
      </c>
    </row>
    <row r="283" ht="15.75" customHeight="1">
      <c r="A283" s="2" t="s">
        <v>44</v>
      </c>
      <c r="B283" s="3">
        <v>6.2721374E8</v>
      </c>
      <c r="C283" s="4">
        <v>38.514</v>
      </c>
      <c r="D283" s="4">
        <v>66.784</v>
      </c>
      <c r="E283" s="4">
        <v>65.668</v>
      </c>
      <c r="F283" s="5">
        <v>10.9</v>
      </c>
      <c r="G283" s="5">
        <v>9.5</v>
      </c>
      <c r="H283" s="4">
        <f t="shared" si="1"/>
        <v>6.285975683</v>
      </c>
      <c r="I283" s="4">
        <f t="shared" si="2"/>
        <v>5.571709204</v>
      </c>
      <c r="J283" s="4">
        <f t="shared" si="3"/>
        <v>5.928842443</v>
      </c>
      <c r="K283" s="4">
        <f t="shared" si="4"/>
        <v>1.016994579</v>
      </c>
      <c r="L283" s="4">
        <f t="shared" si="5"/>
        <v>1.147368421</v>
      </c>
      <c r="M283" s="4">
        <f t="shared" si="6"/>
        <v>-0.1136285781</v>
      </c>
      <c r="N283" s="3" t="s">
        <v>45</v>
      </c>
    </row>
    <row r="284" ht="15.75" customHeight="1">
      <c r="A284" s="2" t="s">
        <v>44</v>
      </c>
      <c r="B284" s="3">
        <v>4.46090711E8</v>
      </c>
      <c r="C284" s="4">
        <v>43.032</v>
      </c>
      <c r="D284" s="4">
        <v>65.552</v>
      </c>
      <c r="E284" s="4">
        <v>65.508</v>
      </c>
      <c r="F284" s="5">
        <v>10.9</v>
      </c>
      <c r="G284" s="5">
        <v>9.5</v>
      </c>
      <c r="H284" s="4">
        <f t="shared" si="1"/>
        <v>7.155369783</v>
      </c>
      <c r="I284" s="4">
        <f t="shared" si="2"/>
        <v>6.240520242</v>
      </c>
      <c r="J284" s="4">
        <f t="shared" si="3"/>
        <v>6.697945012</v>
      </c>
      <c r="K284" s="4">
        <f t="shared" si="4"/>
        <v>1.000671674</v>
      </c>
      <c r="L284" s="4">
        <f t="shared" si="5"/>
        <v>1.147368421</v>
      </c>
      <c r="M284" s="4">
        <f t="shared" si="6"/>
        <v>-0.1278549633</v>
      </c>
      <c r="N284" s="3" t="s">
        <v>45</v>
      </c>
    </row>
    <row r="285" ht="15.75" customHeight="1">
      <c r="A285" s="3" t="s">
        <v>44</v>
      </c>
      <c r="B285" s="3">
        <v>3.1262341E7</v>
      </c>
      <c r="C285" s="4">
        <v>41.067</v>
      </c>
      <c r="D285" s="4">
        <v>75.021</v>
      </c>
      <c r="E285" s="4">
        <v>68.264</v>
      </c>
      <c r="F285" s="5">
        <v>10.9</v>
      </c>
      <c r="G285" s="5">
        <v>9.5</v>
      </c>
      <c r="H285" s="4">
        <f t="shared" si="1"/>
        <v>5.966733315</v>
      </c>
      <c r="I285" s="4">
        <f t="shared" si="2"/>
        <v>5.715113383</v>
      </c>
      <c r="J285" s="4">
        <f t="shared" si="3"/>
        <v>5.840923349</v>
      </c>
      <c r="K285" s="4">
        <f t="shared" si="4"/>
        <v>1.098983359</v>
      </c>
      <c r="L285" s="4">
        <f t="shared" si="5"/>
        <v>1.147368421</v>
      </c>
      <c r="M285" s="4">
        <f t="shared" si="6"/>
        <v>-0.04217046717</v>
      </c>
      <c r="N285" s="3" t="s">
        <v>45</v>
      </c>
    </row>
    <row r="286" ht="15.75" customHeight="1">
      <c r="A286" s="3" t="s">
        <v>44</v>
      </c>
      <c r="B286" s="3">
        <v>6.47602143E8</v>
      </c>
      <c r="C286" s="4">
        <v>39.129</v>
      </c>
      <c r="D286" s="4">
        <v>64.46</v>
      </c>
      <c r="E286" s="4">
        <v>54.799</v>
      </c>
      <c r="F286" s="5">
        <v>10.9</v>
      </c>
      <c r="G286" s="5">
        <v>9.5</v>
      </c>
      <c r="H286" s="4">
        <f t="shared" si="1"/>
        <v>6.616600993</v>
      </c>
      <c r="I286" s="4">
        <f t="shared" si="2"/>
        <v>6.783435829</v>
      </c>
      <c r="J286" s="4">
        <f t="shared" si="3"/>
        <v>6.700018411</v>
      </c>
      <c r="K286" s="4">
        <f t="shared" si="4"/>
        <v>1.176298838</v>
      </c>
      <c r="L286" s="4">
        <f t="shared" si="5"/>
        <v>1.147368421</v>
      </c>
      <c r="M286" s="4">
        <f t="shared" si="6"/>
        <v>0.0252145832</v>
      </c>
      <c r="N286" s="3" t="s">
        <v>45</v>
      </c>
    </row>
    <row r="287" ht="15.75" customHeight="1">
      <c r="A287" s="3" t="s">
        <v>44</v>
      </c>
      <c r="B287" s="3">
        <v>6.36466673E8</v>
      </c>
      <c r="C287" s="4">
        <v>32.335</v>
      </c>
      <c r="D287" s="4">
        <v>51.593</v>
      </c>
      <c r="E287" s="4">
        <v>49.685</v>
      </c>
      <c r="F287" s="5">
        <v>10.9</v>
      </c>
      <c r="G287" s="5">
        <v>9.5</v>
      </c>
      <c r="H287" s="4">
        <f t="shared" si="1"/>
        <v>6.831382164</v>
      </c>
      <c r="I287" s="4">
        <f t="shared" si="2"/>
        <v>6.182600382</v>
      </c>
      <c r="J287" s="4">
        <f t="shared" si="3"/>
        <v>6.506991273</v>
      </c>
      <c r="K287" s="4">
        <f t="shared" si="4"/>
        <v>1.038401932</v>
      </c>
      <c r="L287" s="4">
        <f t="shared" si="5"/>
        <v>1.147368421</v>
      </c>
      <c r="M287" s="4">
        <f t="shared" si="6"/>
        <v>-0.09497079306</v>
      </c>
      <c r="N287" s="3" t="s">
        <v>45</v>
      </c>
    </row>
    <row r="288" ht="15.75" customHeight="1">
      <c r="A288" s="6" t="s">
        <v>44</v>
      </c>
      <c r="B288" s="3">
        <v>6.14332851E8</v>
      </c>
      <c r="C288" s="4">
        <v>37.083</v>
      </c>
      <c r="D288" s="4">
        <v>53.782</v>
      </c>
      <c r="E288" s="4">
        <v>55.255</v>
      </c>
      <c r="F288" s="5">
        <v>10.9</v>
      </c>
      <c r="G288" s="5">
        <v>9.5</v>
      </c>
      <c r="H288" s="4">
        <f t="shared" si="1"/>
        <v>7.51561303</v>
      </c>
      <c r="I288" s="4">
        <f t="shared" si="2"/>
        <v>6.375685458</v>
      </c>
      <c r="J288" s="4">
        <f t="shared" si="3"/>
        <v>6.945649244</v>
      </c>
      <c r="K288" s="4">
        <f t="shared" si="4"/>
        <v>0.973341779</v>
      </c>
      <c r="L288" s="4">
        <f t="shared" si="5"/>
        <v>1.147368421</v>
      </c>
      <c r="M288" s="4">
        <f t="shared" si="6"/>
        <v>-0.1516745963</v>
      </c>
      <c r="N288" s="3" t="s">
        <v>45</v>
      </c>
    </row>
    <row r="289" ht="15.75" customHeight="1">
      <c r="A289" s="3" t="s">
        <v>44</v>
      </c>
      <c r="B289" s="3">
        <v>2.48771821E8</v>
      </c>
      <c r="C289" s="4">
        <v>39.078</v>
      </c>
      <c r="D289" s="4">
        <v>64.647</v>
      </c>
      <c r="E289" s="4">
        <v>53.398</v>
      </c>
      <c r="F289" s="5">
        <v>10.9</v>
      </c>
      <c r="G289" s="5">
        <v>9.5</v>
      </c>
      <c r="H289" s="4">
        <f t="shared" si="1"/>
        <v>6.588862592</v>
      </c>
      <c r="I289" s="4">
        <f t="shared" si="2"/>
        <v>6.952339039</v>
      </c>
      <c r="J289" s="4">
        <f t="shared" si="3"/>
        <v>6.770600816</v>
      </c>
      <c r="K289" s="4">
        <f t="shared" si="4"/>
        <v>1.210663321</v>
      </c>
      <c r="L289" s="4">
        <f t="shared" si="5"/>
        <v>1.147368421</v>
      </c>
      <c r="M289" s="4">
        <f t="shared" si="6"/>
        <v>0.05516527953</v>
      </c>
      <c r="N289" s="3" t="s">
        <v>45</v>
      </c>
    </row>
    <row r="290" ht="15.75" customHeight="1">
      <c r="A290" s="3" t="s">
        <v>44</v>
      </c>
      <c r="B290" s="3">
        <v>2.97583381E8</v>
      </c>
      <c r="C290" s="4">
        <v>39.413</v>
      </c>
      <c r="D290" s="4">
        <v>61.752</v>
      </c>
      <c r="E290" s="4">
        <v>58.873</v>
      </c>
      <c r="F290" s="5">
        <v>10.9</v>
      </c>
      <c r="G290" s="5">
        <v>9.5</v>
      </c>
      <c r="H290" s="4">
        <f t="shared" si="1"/>
        <v>6.956887226</v>
      </c>
      <c r="I290" s="4">
        <f t="shared" si="2"/>
        <v>6.359850865</v>
      </c>
      <c r="J290" s="4">
        <f t="shared" si="3"/>
        <v>6.658369046</v>
      </c>
      <c r="K290" s="4">
        <f t="shared" si="4"/>
        <v>1.048901874</v>
      </c>
      <c r="L290" s="4">
        <f t="shared" si="5"/>
        <v>1.147368421</v>
      </c>
      <c r="M290" s="4">
        <f t="shared" si="6"/>
        <v>-0.08581946803</v>
      </c>
      <c r="N290" s="3" t="s">
        <v>45</v>
      </c>
    </row>
    <row r="291" ht="15.75" customHeight="1">
      <c r="A291" s="3" t="s">
        <v>44</v>
      </c>
      <c r="B291" s="8">
        <v>4.69635511E8</v>
      </c>
      <c r="C291" s="9">
        <v>53.516</v>
      </c>
      <c r="D291" s="9">
        <v>82.67</v>
      </c>
      <c r="E291" s="9">
        <v>69.759</v>
      </c>
      <c r="F291" s="5">
        <v>10.9</v>
      </c>
      <c r="G291" s="5">
        <v>9.5</v>
      </c>
      <c r="H291" s="4">
        <f t="shared" si="1"/>
        <v>7.05605903</v>
      </c>
      <c r="I291" s="4">
        <f t="shared" si="2"/>
        <v>7.287977179</v>
      </c>
      <c r="J291" s="4">
        <f t="shared" si="3"/>
        <v>7.172018104</v>
      </c>
      <c r="K291" s="4">
        <f t="shared" si="4"/>
        <v>1.185080061</v>
      </c>
      <c r="L291" s="4">
        <f t="shared" si="5"/>
        <v>1.147368421</v>
      </c>
      <c r="M291" s="4">
        <f t="shared" si="6"/>
        <v>0.03286794338</v>
      </c>
      <c r="N291" s="3" t="s">
        <v>45</v>
      </c>
    </row>
    <row r="292" ht="15.75" customHeight="1">
      <c r="A292" s="3" t="s">
        <v>44</v>
      </c>
      <c r="B292" s="8">
        <v>5.59714721E8</v>
      </c>
      <c r="C292" s="9">
        <v>59.0</v>
      </c>
      <c r="D292" s="9">
        <v>87.693</v>
      </c>
      <c r="E292" s="9">
        <v>80.1</v>
      </c>
      <c r="F292" s="5">
        <v>10.9</v>
      </c>
      <c r="G292" s="5">
        <v>9.5</v>
      </c>
      <c r="H292" s="4">
        <f t="shared" si="1"/>
        <v>7.333538595</v>
      </c>
      <c r="I292" s="4">
        <f t="shared" si="2"/>
        <v>6.997503121</v>
      </c>
      <c r="J292" s="4">
        <f t="shared" si="3"/>
        <v>7.165520858</v>
      </c>
      <c r="K292" s="4">
        <f t="shared" si="4"/>
        <v>1.094794007</v>
      </c>
      <c r="L292" s="4">
        <f t="shared" si="5"/>
        <v>1.147368421</v>
      </c>
      <c r="M292" s="4">
        <f t="shared" si="6"/>
        <v>-0.04582173659</v>
      </c>
      <c r="N292" s="3" t="s">
        <v>45</v>
      </c>
    </row>
    <row r="293" ht="15.75" customHeight="1">
      <c r="A293" s="2" t="s">
        <v>44</v>
      </c>
      <c r="B293" s="3">
        <v>6.26077976E8</v>
      </c>
      <c r="C293" s="4">
        <v>44.096</v>
      </c>
      <c r="D293" s="4">
        <v>71.586</v>
      </c>
      <c r="E293" s="4">
        <v>70.776</v>
      </c>
      <c r="F293" s="5">
        <v>10.9</v>
      </c>
      <c r="G293" s="5">
        <v>9.5</v>
      </c>
      <c r="H293" s="4">
        <f t="shared" si="1"/>
        <v>6.71425139</v>
      </c>
      <c r="I293" s="4">
        <f t="shared" si="2"/>
        <v>5.918842545</v>
      </c>
      <c r="J293" s="4">
        <f t="shared" si="3"/>
        <v>6.316546968</v>
      </c>
      <c r="K293" s="4">
        <f t="shared" si="4"/>
        <v>1.011444557</v>
      </c>
      <c r="L293" s="4">
        <f t="shared" si="5"/>
        <v>1.147368421</v>
      </c>
      <c r="M293" s="4">
        <f t="shared" si="6"/>
        <v>-0.1184657527</v>
      </c>
      <c r="N293" s="3" t="s">
        <v>45</v>
      </c>
    </row>
    <row r="294" ht="15.75" customHeight="1">
      <c r="A294" s="3" t="s">
        <v>46</v>
      </c>
      <c r="B294" s="3">
        <v>6.44742014E8</v>
      </c>
      <c r="C294" s="4">
        <v>39.133</v>
      </c>
      <c r="D294" s="4">
        <v>111.891</v>
      </c>
      <c r="E294" s="4">
        <v>55.716</v>
      </c>
      <c r="F294" s="5">
        <v>16.2</v>
      </c>
      <c r="G294" s="5">
        <v>7.3</v>
      </c>
      <c r="H294" s="4">
        <f t="shared" si="1"/>
        <v>5.665822988</v>
      </c>
      <c r="I294" s="4">
        <f t="shared" si="2"/>
        <v>5.127268648</v>
      </c>
      <c r="J294" s="4">
        <f t="shared" si="3"/>
        <v>5.396545818</v>
      </c>
      <c r="K294" s="4">
        <f t="shared" si="4"/>
        <v>2.008238208</v>
      </c>
      <c r="L294" s="4">
        <f t="shared" si="5"/>
        <v>2.219178082</v>
      </c>
      <c r="M294" s="4">
        <f t="shared" si="6"/>
        <v>-0.09505315316</v>
      </c>
      <c r="N294" s="3" t="s">
        <v>47</v>
      </c>
    </row>
    <row r="295" ht="15.75" customHeight="1">
      <c r="A295" s="3" t="s">
        <v>46</v>
      </c>
      <c r="B295" s="3">
        <v>6.31009463E8</v>
      </c>
      <c r="C295" s="4">
        <v>51.129</v>
      </c>
      <c r="D295" s="4">
        <v>177.532</v>
      </c>
      <c r="E295" s="4">
        <v>88.379</v>
      </c>
      <c r="F295" s="5">
        <v>16.2</v>
      </c>
      <c r="G295" s="5">
        <v>7.3</v>
      </c>
      <c r="H295" s="4">
        <f t="shared" si="1"/>
        <v>4.66558029</v>
      </c>
      <c r="I295" s="4">
        <f t="shared" si="2"/>
        <v>4.223194424</v>
      </c>
      <c r="J295" s="4">
        <f t="shared" si="3"/>
        <v>4.444387357</v>
      </c>
      <c r="K295" s="4">
        <f t="shared" si="4"/>
        <v>2.008757737</v>
      </c>
      <c r="L295" s="4">
        <f t="shared" si="5"/>
        <v>2.219178082</v>
      </c>
      <c r="M295" s="4">
        <f t="shared" si="6"/>
        <v>-0.09481904463</v>
      </c>
      <c r="N295" s="3" t="s">
        <v>47</v>
      </c>
    </row>
    <row r="296" ht="15.75" customHeight="1">
      <c r="A296" s="6" t="s">
        <v>46</v>
      </c>
      <c r="B296" s="3">
        <v>6.23180386E8</v>
      </c>
      <c r="C296" s="4">
        <v>39.616</v>
      </c>
      <c r="D296" s="4">
        <v>105.759</v>
      </c>
      <c r="E296" s="4">
        <v>57.513</v>
      </c>
      <c r="F296" s="5">
        <v>16.2</v>
      </c>
      <c r="G296" s="5">
        <v>7.3</v>
      </c>
      <c r="H296" s="4">
        <f t="shared" si="1"/>
        <v>6.06831759</v>
      </c>
      <c r="I296" s="4">
        <f t="shared" si="2"/>
        <v>5.028372716</v>
      </c>
      <c r="J296" s="4">
        <f t="shared" si="3"/>
        <v>5.548345153</v>
      </c>
      <c r="K296" s="4">
        <f t="shared" si="4"/>
        <v>1.838871212</v>
      </c>
      <c r="L296" s="4">
        <f t="shared" si="5"/>
        <v>2.219178082</v>
      </c>
      <c r="M296" s="4">
        <f t="shared" si="6"/>
        <v>-0.171372849</v>
      </c>
      <c r="N296" s="3" t="s">
        <v>47</v>
      </c>
    </row>
    <row r="297" ht="15.75" customHeight="1">
      <c r="A297" s="3" t="s">
        <v>46</v>
      </c>
      <c r="B297" s="3">
        <v>6.13865217E8</v>
      </c>
      <c r="C297" s="4">
        <v>42.008</v>
      </c>
      <c r="D297" s="4">
        <v>107.848</v>
      </c>
      <c r="E297" s="4">
        <v>52.308</v>
      </c>
      <c r="F297" s="5">
        <v>16.2</v>
      </c>
      <c r="G297" s="5">
        <v>7.3</v>
      </c>
      <c r="H297" s="4">
        <f t="shared" si="1"/>
        <v>6.310080855</v>
      </c>
      <c r="I297" s="4">
        <f t="shared" si="2"/>
        <v>5.862552573</v>
      </c>
      <c r="J297" s="4">
        <f t="shared" si="3"/>
        <v>6.086316714</v>
      </c>
      <c r="K297" s="4">
        <f t="shared" si="4"/>
        <v>2.061787872</v>
      </c>
      <c r="L297" s="4">
        <f t="shared" si="5"/>
        <v>2.219178082</v>
      </c>
      <c r="M297" s="4">
        <f t="shared" si="6"/>
        <v>-0.07092274911</v>
      </c>
      <c r="N297" s="3" t="s">
        <v>47</v>
      </c>
    </row>
    <row r="298" ht="15.75" customHeight="1">
      <c r="A298" s="3" t="s">
        <v>46</v>
      </c>
      <c r="B298" s="3">
        <v>6.1735467E8</v>
      </c>
      <c r="C298" s="4">
        <v>41.629</v>
      </c>
      <c r="D298" s="4">
        <v>106.7</v>
      </c>
      <c r="E298" s="4">
        <v>52.667</v>
      </c>
      <c r="F298" s="5">
        <v>16.2</v>
      </c>
      <c r="G298" s="5">
        <v>7.3</v>
      </c>
      <c r="H298" s="4">
        <f t="shared" si="1"/>
        <v>6.320429241</v>
      </c>
      <c r="I298" s="4">
        <f t="shared" si="2"/>
        <v>5.77005905</v>
      </c>
      <c r="J298" s="4">
        <f t="shared" si="3"/>
        <v>6.045244146</v>
      </c>
      <c r="K298" s="4">
        <f t="shared" si="4"/>
        <v>2.025936545</v>
      </c>
      <c r="L298" s="4">
        <f t="shared" si="5"/>
        <v>2.219178082</v>
      </c>
      <c r="M298" s="4">
        <f t="shared" si="6"/>
        <v>-0.08707797677</v>
      </c>
      <c r="N298" s="3" t="s">
        <v>47</v>
      </c>
    </row>
    <row r="299" ht="15.75" customHeight="1">
      <c r="A299" s="3" t="s">
        <v>46</v>
      </c>
      <c r="B299" s="3">
        <v>6.3665795E8</v>
      </c>
      <c r="C299" s="4">
        <v>32.655</v>
      </c>
      <c r="D299" s="4">
        <v>101.305</v>
      </c>
      <c r="E299" s="4">
        <v>49.426</v>
      </c>
      <c r="F299" s="5">
        <v>16.2</v>
      </c>
      <c r="G299" s="5">
        <v>7.3</v>
      </c>
      <c r="H299" s="4">
        <f t="shared" si="1"/>
        <v>5.221963378</v>
      </c>
      <c r="I299" s="4">
        <f t="shared" si="2"/>
        <v>4.822998017</v>
      </c>
      <c r="J299" s="4">
        <f t="shared" si="3"/>
        <v>5.022480698</v>
      </c>
      <c r="K299" s="4">
        <f t="shared" si="4"/>
        <v>2.04962975</v>
      </c>
      <c r="L299" s="4">
        <f t="shared" si="5"/>
        <v>2.219178082</v>
      </c>
      <c r="M299" s="4">
        <f t="shared" si="6"/>
        <v>-0.07640140916</v>
      </c>
      <c r="N299" s="3" t="s">
        <v>47</v>
      </c>
    </row>
    <row r="300" ht="15.75" customHeight="1">
      <c r="A300" s="3" t="s">
        <v>46</v>
      </c>
      <c r="B300" s="3">
        <v>2.78328811E8</v>
      </c>
      <c r="C300" s="4">
        <v>44.359</v>
      </c>
      <c r="D300" s="4">
        <v>124.533</v>
      </c>
      <c r="E300" s="4">
        <v>62.308</v>
      </c>
      <c r="F300" s="5">
        <v>16.2</v>
      </c>
      <c r="G300" s="5">
        <v>7.3</v>
      </c>
      <c r="H300" s="4">
        <f t="shared" si="1"/>
        <v>5.770484932</v>
      </c>
      <c r="I300" s="4">
        <f t="shared" si="2"/>
        <v>5.197096681</v>
      </c>
      <c r="J300" s="4">
        <f t="shared" si="3"/>
        <v>5.483790806</v>
      </c>
      <c r="K300" s="4">
        <f t="shared" si="4"/>
        <v>1.998667908</v>
      </c>
      <c r="L300" s="4">
        <f t="shared" si="5"/>
        <v>2.219178082</v>
      </c>
      <c r="M300" s="4">
        <f t="shared" si="6"/>
        <v>-0.09936569586</v>
      </c>
      <c r="N300" s="3" t="s">
        <v>47</v>
      </c>
    </row>
    <row r="301" ht="15.75" customHeight="1">
      <c r="A301" s="3" t="s">
        <v>46</v>
      </c>
      <c r="B301" s="3">
        <v>1.34959341E8</v>
      </c>
      <c r="C301" s="4">
        <v>40.204</v>
      </c>
      <c r="D301" s="4">
        <v>119.526</v>
      </c>
      <c r="E301" s="4">
        <v>55.668</v>
      </c>
      <c r="F301" s="5">
        <v>16.2</v>
      </c>
      <c r="G301" s="5">
        <v>7.3</v>
      </c>
      <c r="H301" s="4">
        <f t="shared" si="1"/>
        <v>5.449063802</v>
      </c>
      <c r="I301" s="4">
        <f t="shared" si="2"/>
        <v>5.272134799</v>
      </c>
      <c r="J301" s="4">
        <f t="shared" si="3"/>
        <v>5.360599301</v>
      </c>
      <c r="K301" s="4">
        <f t="shared" si="4"/>
        <v>2.147122225</v>
      </c>
      <c r="L301" s="4">
        <f t="shared" si="5"/>
        <v>2.219178082</v>
      </c>
      <c r="M301" s="4">
        <f t="shared" si="6"/>
        <v>-0.03246961483</v>
      </c>
      <c r="N301" s="3" t="s">
        <v>47</v>
      </c>
    </row>
    <row r="302" ht="15.75" customHeight="1">
      <c r="A302" s="6" t="s">
        <v>46</v>
      </c>
      <c r="B302" s="3">
        <v>6.15862094E8</v>
      </c>
      <c r="C302" s="4">
        <v>45.845</v>
      </c>
      <c r="D302" s="4">
        <v>110.914</v>
      </c>
      <c r="E302" s="4">
        <v>63.626</v>
      </c>
      <c r="F302" s="5">
        <v>16.2</v>
      </c>
      <c r="G302" s="5">
        <v>7.3</v>
      </c>
      <c r="H302" s="4">
        <f t="shared" si="1"/>
        <v>6.696079846</v>
      </c>
      <c r="I302" s="4">
        <f t="shared" si="2"/>
        <v>5.259933046</v>
      </c>
      <c r="J302" s="4">
        <f t="shared" si="3"/>
        <v>5.978006446</v>
      </c>
      <c r="K302" s="4">
        <f t="shared" si="4"/>
        <v>1.743218181</v>
      </c>
      <c r="L302" s="4">
        <f t="shared" si="5"/>
        <v>2.219178082</v>
      </c>
      <c r="M302" s="4">
        <f t="shared" si="6"/>
        <v>-0.2144757578</v>
      </c>
      <c r="N302" s="3" t="s">
        <v>47</v>
      </c>
    </row>
    <row r="303" ht="15.75" customHeight="1">
      <c r="A303" s="3" t="s">
        <v>46</v>
      </c>
      <c r="B303" s="3">
        <v>6.28649525E8</v>
      </c>
      <c r="C303" s="4">
        <v>36.36</v>
      </c>
      <c r="D303" s="4">
        <v>108.849</v>
      </c>
      <c r="E303" s="4">
        <v>54.459</v>
      </c>
      <c r="F303" s="5">
        <v>16.2</v>
      </c>
      <c r="G303" s="5">
        <v>7.3</v>
      </c>
      <c r="H303" s="4">
        <f t="shared" si="1"/>
        <v>5.411459912</v>
      </c>
      <c r="I303" s="4">
        <f t="shared" si="2"/>
        <v>4.87390514</v>
      </c>
      <c r="J303" s="4">
        <f t="shared" si="3"/>
        <v>5.142682526</v>
      </c>
      <c r="K303" s="4">
        <f t="shared" si="4"/>
        <v>1.998732992</v>
      </c>
      <c r="L303" s="4">
        <f t="shared" si="5"/>
        <v>2.219178082</v>
      </c>
      <c r="M303" s="4">
        <f t="shared" si="6"/>
        <v>-0.0993363679</v>
      </c>
      <c r="N303" s="3" t="s">
        <v>47</v>
      </c>
    </row>
    <row r="304" ht="15.75" customHeight="1">
      <c r="A304" s="3" t="s">
        <v>46</v>
      </c>
      <c r="B304" s="3">
        <v>1.05891551E8</v>
      </c>
      <c r="C304" s="4">
        <v>39.795</v>
      </c>
      <c r="D304" s="4">
        <v>102.005</v>
      </c>
      <c r="E304" s="4">
        <v>46.001</v>
      </c>
      <c r="F304" s="5">
        <v>16.2</v>
      </c>
      <c r="G304" s="5">
        <v>7.3</v>
      </c>
      <c r="H304" s="4">
        <f t="shared" si="1"/>
        <v>6.320072545</v>
      </c>
      <c r="I304" s="4">
        <f t="shared" si="2"/>
        <v>6.315156192</v>
      </c>
      <c r="J304" s="4">
        <f t="shared" si="3"/>
        <v>6.317614369</v>
      </c>
      <c r="K304" s="4">
        <f t="shared" si="4"/>
        <v>2.217451795</v>
      </c>
      <c r="L304" s="4">
        <f t="shared" si="5"/>
        <v>2.219178082</v>
      </c>
      <c r="M304" s="4">
        <f t="shared" si="6"/>
        <v>-0.0007778950592</v>
      </c>
      <c r="N304" s="3" t="s">
        <v>47</v>
      </c>
    </row>
    <row r="305" ht="15.75" customHeight="1">
      <c r="A305" s="3" t="s">
        <v>46</v>
      </c>
      <c r="B305" s="3">
        <v>7.9406261E7</v>
      </c>
      <c r="C305" s="4">
        <v>44.465</v>
      </c>
      <c r="D305" s="4">
        <v>117.057</v>
      </c>
      <c r="E305" s="4">
        <v>56.837</v>
      </c>
      <c r="F305" s="5">
        <v>16.2</v>
      </c>
      <c r="G305" s="5">
        <v>7.3</v>
      </c>
      <c r="H305" s="4">
        <f t="shared" si="1"/>
        <v>6.153694354</v>
      </c>
      <c r="I305" s="4">
        <f t="shared" si="2"/>
        <v>5.710971726</v>
      </c>
      <c r="J305" s="4">
        <f t="shared" si="3"/>
        <v>5.93233304</v>
      </c>
      <c r="K305" s="4">
        <f t="shared" si="4"/>
        <v>2.059521087</v>
      </c>
      <c r="L305" s="4">
        <f t="shared" si="5"/>
        <v>2.219178082</v>
      </c>
      <c r="M305" s="4">
        <f t="shared" si="6"/>
        <v>-0.07194420171</v>
      </c>
      <c r="N305" s="3" t="s">
        <v>47</v>
      </c>
    </row>
    <row r="306" ht="15.75" customHeight="1">
      <c r="A306" s="3" t="s">
        <v>46</v>
      </c>
      <c r="B306" s="3">
        <v>6.09248053E8</v>
      </c>
      <c r="C306" s="4">
        <v>35.016</v>
      </c>
      <c r="D306" s="4">
        <v>90.336</v>
      </c>
      <c r="E306" s="4">
        <v>44.284</v>
      </c>
      <c r="F306" s="5">
        <v>16.2</v>
      </c>
      <c r="G306" s="5">
        <v>7.3</v>
      </c>
      <c r="H306" s="4">
        <f t="shared" si="1"/>
        <v>6.279436769</v>
      </c>
      <c r="I306" s="4">
        <f t="shared" si="2"/>
        <v>5.772215699</v>
      </c>
      <c r="J306" s="4">
        <f t="shared" si="3"/>
        <v>6.025826234</v>
      </c>
      <c r="K306" s="4">
        <f t="shared" si="4"/>
        <v>2.039924126</v>
      </c>
      <c r="L306" s="4">
        <f t="shared" si="5"/>
        <v>2.219178082</v>
      </c>
      <c r="M306" s="4">
        <f t="shared" si="6"/>
        <v>-0.08077493083</v>
      </c>
      <c r="N306" s="3" t="s">
        <v>47</v>
      </c>
    </row>
    <row r="307" ht="15.75" customHeight="1">
      <c r="A307" s="3" t="s">
        <v>46</v>
      </c>
      <c r="B307" s="3">
        <v>5.63530161E8</v>
      </c>
      <c r="C307" s="4">
        <v>40.492</v>
      </c>
      <c r="D307" s="4">
        <v>98.724</v>
      </c>
      <c r="E307" s="4">
        <v>46.704</v>
      </c>
      <c r="F307" s="5">
        <v>16.2</v>
      </c>
      <c r="G307" s="5">
        <v>7.3</v>
      </c>
      <c r="H307" s="4">
        <f t="shared" si="1"/>
        <v>6.644487663</v>
      </c>
      <c r="I307" s="4">
        <f t="shared" si="2"/>
        <v>6.32904248</v>
      </c>
      <c r="J307" s="4">
        <f t="shared" si="3"/>
        <v>6.486765071</v>
      </c>
      <c r="K307" s="4">
        <f t="shared" si="4"/>
        <v>2.113823227</v>
      </c>
      <c r="L307" s="4">
        <f t="shared" si="5"/>
        <v>2.219178082</v>
      </c>
      <c r="M307" s="4">
        <f t="shared" si="6"/>
        <v>-0.04747471864</v>
      </c>
      <c r="N307" s="3" t="s">
        <v>47</v>
      </c>
    </row>
    <row r="308" ht="15.75" customHeight="1">
      <c r="A308" s="3" t="s">
        <v>46</v>
      </c>
      <c r="B308" s="3">
        <v>2.90079011E8</v>
      </c>
      <c r="C308" s="4">
        <v>39.06</v>
      </c>
      <c r="D308" s="4">
        <v>124.597</v>
      </c>
      <c r="E308" s="4">
        <v>57.733</v>
      </c>
      <c r="F308" s="5">
        <v>16.2</v>
      </c>
      <c r="G308" s="5">
        <v>7.3</v>
      </c>
      <c r="H308" s="4">
        <f t="shared" si="1"/>
        <v>5.078549243</v>
      </c>
      <c r="I308" s="4">
        <f t="shared" si="2"/>
        <v>4.938908423</v>
      </c>
      <c r="J308" s="4">
        <f t="shared" si="3"/>
        <v>5.008728833</v>
      </c>
      <c r="K308" s="4">
        <f t="shared" si="4"/>
        <v>2.158159112</v>
      </c>
      <c r="L308" s="4">
        <f t="shared" si="5"/>
        <v>2.219178082</v>
      </c>
      <c r="M308" s="4">
        <f t="shared" si="6"/>
        <v>-0.02749620272</v>
      </c>
      <c r="N308" s="3" t="s">
        <v>47</v>
      </c>
    </row>
    <row r="309" ht="15.75" customHeight="1">
      <c r="A309" s="2" t="s">
        <v>48</v>
      </c>
      <c r="B309" s="3">
        <v>6.31901274E8</v>
      </c>
      <c r="C309" s="4">
        <v>31.785</v>
      </c>
      <c r="D309" s="4">
        <v>80.643</v>
      </c>
      <c r="E309" s="4">
        <v>43.255</v>
      </c>
      <c r="F309" s="5">
        <v>18.2</v>
      </c>
      <c r="G309" s="5">
        <v>8.3</v>
      </c>
      <c r="H309" s="4">
        <f t="shared" si="1"/>
        <v>7.173431048</v>
      </c>
      <c r="I309" s="4">
        <f t="shared" si="2"/>
        <v>6.099075251</v>
      </c>
      <c r="J309" s="4">
        <f t="shared" si="3"/>
        <v>6.63625315</v>
      </c>
      <c r="K309" s="4">
        <f t="shared" si="4"/>
        <v>1.864362501</v>
      </c>
      <c r="L309" s="4">
        <f t="shared" si="5"/>
        <v>2.192771084</v>
      </c>
      <c r="M309" s="4">
        <f t="shared" si="6"/>
        <v>-0.1497687493</v>
      </c>
      <c r="N309" s="3" t="s">
        <v>49</v>
      </c>
    </row>
    <row r="310" ht="15.75" customHeight="1">
      <c r="A310" s="3" t="s">
        <v>48</v>
      </c>
      <c r="B310" s="3">
        <v>5.68270271E8</v>
      </c>
      <c r="C310" s="4">
        <v>34.694</v>
      </c>
      <c r="D310" s="4">
        <v>101.294</v>
      </c>
      <c r="E310" s="4">
        <v>46.824</v>
      </c>
      <c r="F310" s="5">
        <v>18.2</v>
      </c>
      <c r="G310" s="5">
        <v>8.3</v>
      </c>
      <c r="H310" s="4">
        <f t="shared" si="1"/>
        <v>6.233644638</v>
      </c>
      <c r="I310" s="4">
        <f t="shared" si="2"/>
        <v>6.149841961</v>
      </c>
      <c r="J310" s="4">
        <f t="shared" si="3"/>
        <v>6.1917433</v>
      </c>
      <c r="K310" s="4">
        <f t="shared" si="4"/>
        <v>2.163292329</v>
      </c>
      <c r="L310" s="4">
        <f t="shared" si="5"/>
        <v>2.192771084</v>
      </c>
      <c r="M310" s="4">
        <f t="shared" si="6"/>
        <v>-0.01344360833</v>
      </c>
      <c r="N310" s="3" t="s">
        <v>49</v>
      </c>
    </row>
    <row r="311" ht="15.75" customHeight="1">
      <c r="A311" s="6" t="s">
        <v>48</v>
      </c>
      <c r="B311" s="3">
        <v>6.32963272E8</v>
      </c>
      <c r="C311" s="4">
        <v>39.473</v>
      </c>
      <c r="D311" s="4">
        <v>96.789</v>
      </c>
      <c r="E311" s="4">
        <v>55.543</v>
      </c>
      <c r="F311" s="5">
        <v>18.2</v>
      </c>
      <c r="G311" s="5">
        <v>8.3</v>
      </c>
      <c r="H311" s="4">
        <f t="shared" si="1"/>
        <v>7.422419903</v>
      </c>
      <c r="I311" s="4">
        <f t="shared" si="2"/>
        <v>5.898599283</v>
      </c>
      <c r="J311" s="4">
        <f t="shared" si="3"/>
        <v>6.660509593</v>
      </c>
      <c r="K311" s="4">
        <f t="shared" si="4"/>
        <v>1.742595827</v>
      </c>
      <c r="L311" s="4">
        <f t="shared" si="5"/>
        <v>2.192771084</v>
      </c>
      <c r="M311" s="4">
        <f t="shared" si="6"/>
        <v>-0.2052997054</v>
      </c>
      <c r="N311" s="3" t="s">
        <v>49</v>
      </c>
    </row>
    <row r="312" ht="15.75" customHeight="1">
      <c r="A312" s="3" t="s">
        <v>48</v>
      </c>
      <c r="B312" s="3">
        <v>6.13419257E8</v>
      </c>
      <c r="C312" s="4">
        <v>54.452</v>
      </c>
      <c r="D312" s="4">
        <v>121.495</v>
      </c>
      <c r="E312" s="4">
        <v>59.503</v>
      </c>
      <c r="F312" s="5">
        <v>18.2</v>
      </c>
      <c r="G312" s="5">
        <v>8.3</v>
      </c>
      <c r="H312" s="4">
        <f t="shared" si="1"/>
        <v>8.156931561</v>
      </c>
      <c r="I312" s="4">
        <f t="shared" si="2"/>
        <v>7.595442247</v>
      </c>
      <c r="J312" s="4">
        <f t="shared" si="3"/>
        <v>7.876186904</v>
      </c>
      <c r="K312" s="4">
        <f t="shared" si="4"/>
        <v>2.041829824</v>
      </c>
      <c r="L312" s="4">
        <f t="shared" si="5"/>
        <v>2.192771084</v>
      </c>
      <c r="M312" s="4">
        <f t="shared" si="6"/>
        <v>-0.06883584963</v>
      </c>
      <c r="N312" s="3" t="s">
        <v>49</v>
      </c>
    </row>
    <row r="313" ht="15.75" customHeight="1">
      <c r="A313" s="3" t="s">
        <v>48</v>
      </c>
      <c r="B313" s="3">
        <v>6.10652918E8</v>
      </c>
      <c r="C313" s="4">
        <v>43.411</v>
      </c>
      <c r="D313" s="4">
        <v>101.826</v>
      </c>
      <c r="E313" s="4">
        <v>46.431</v>
      </c>
      <c r="F313" s="5">
        <v>18.2</v>
      </c>
      <c r="G313" s="5">
        <v>8.3</v>
      </c>
      <c r="H313" s="4">
        <f t="shared" si="1"/>
        <v>7.75912046</v>
      </c>
      <c r="I313" s="4">
        <f t="shared" si="2"/>
        <v>7.760145162</v>
      </c>
      <c r="J313" s="4">
        <f t="shared" si="3"/>
        <v>7.759632811</v>
      </c>
      <c r="K313" s="4">
        <f t="shared" si="4"/>
        <v>2.193060671</v>
      </c>
      <c r="L313" s="4">
        <f t="shared" si="5"/>
        <v>2.192771084</v>
      </c>
      <c r="M313" s="4">
        <f t="shared" si="6"/>
        <v>0.0001320640979</v>
      </c>
      <c r="N313" s="3" t="s">
        <v>49</v>
      </c>
    </row>
    <row r="314" ht="15.75" customHeight="1">
      <c r="A314" s="2" t="s">
        <v>48</v>
      </c>
      <c r="B314" s="3">
        <v>6.09958783E8</v>
      </c>
      <c r="C314" s="4">
        <v>52.752</v>
      </c>
      <c r="D314" s="4">
        <v>119.897</v>
      </c>
      <c r="E314" s="4">
        <v>62.008</v>
      </c>
      <c r="F314" s="5">
        <v>18.2</v>
      </c>
      <c r="G314" s="5">
        <v>8.3</v>
      </c>
      <c r="H314" s="4">
        <f t="shared" si="1"/>
        <v>8.007593184</v>
      </c>
      <c r="I314" s="4">
        <f t="shared" si="2"/>
        <v>7.061050187</v>
      </c>
      <c r="J314" s="4">
        <f t="shared" si="3"/>
        <v>7.534321686</v>
      </c>
      <c r="K314" s="4">
        <f t="shared" si="4"/>
        <v>1.933573087</v>
      </c>
      <c r="L314" s="4">
        <f t="shared" si="5"/>
        <v>2.192771084</v>
      </c>
      <c r="M314" s="4">
        <f t="shared" si="6"/>
        <v>-0.1182056799</v>
      </c>
      <c r="N314" s="3" t="s">
        <v>49</v>
      </c>
    </row>
    <row r="315" ht="15.75" customHeight="1">
      <c r="A315" s="2" t="s">
        <v>48</v>
      </c>
      <c r="B315" s="3">
        <v>6.22994364E8</v>
      </c>
      <c r="C315" s="4">
        <v>45.087</v>
      </c>
      <c r="D315" s="4">
        <v>88.669</v>
      </c>
      <c r="E315" s="4">
        <v>46.358</v>
      </c>
      <c r="F315" s="5">
        <v>18.2</v>
      </c>
      <c r="G315" s="5">
        <v>8.3</v>
      </c>
      <c r="H315" s="4">
        <f t="shared" si="1"/>
        <v>9.254456462</v>
      </c>
      <c r="I315" s="4">
        <f t="shared" si="2"/>
        <v>8.072438414</v>
      </c>
      <c r="J315" s="4">
        <f t="shared" si="3"/>
        <v>8.663447438</v>
      </c>
      <c r="K315" s="4">
        <f t="shared" si="4"/>
        <v>1.912701152</v>
      </c>
      <c r="L315" s="4">
        <f t="shared" si="5"/>
        <v>2.192771084</v>
      </c>
      <c r="M315" s="4">
        <f t="shared" si="6"/>
        <v>-0.1277242</v>
      </c>
      <c r="N315" s="3" t="s">
        <v>49</v>
      </c>
    </row>
    <row r="316" ht="15.75" customHeight="1">
      <c r="A316" s="2" t="s">
        <v>48</v>
      </c>
      <c r="B316" s="3">
        <v>6.47415334E8</v>
      </c>
      <c r="C316" s="4">
        <v>43.19</v>
      </c>
      <c r="D316" s="4">
        <v>88.943</v>
      </c>
      <c r="E316" s="4">
        <v>47.668</v>
      </c>
      <c r="F316" s="5">
        <v>18.2</v>
      </c>
      <c r="G316" s="5">
        <v>8.3</v>
      </c>
      <c r="H316" s="4">
        <f t="shared" si="1"/>
        <v>8.837772506</v>
      </c>
      <c r="I316" s="4">
        <f t="shared" si="2"/>
        <v>7.520286146</v>
      </c>
      <c r="J316" s="4">
        <f t="shared" si="3"/>
        <v>8.179029326</v>
      </c>
      <c r="K316" s="4">
        <f t="shared" si="4"/>
        <v>1.86588487</v>
      </c>
      <c r="L316" s="4">
        <f t="shared" si="5"/>
        <v>2.192771084</v>
      </c>
      <c r="M316" s="4">
        <f t="shared" si="6"/>
        <v>-0.1490744822</v>
      </c>
      <c r="N316" s="3" t="s">
        <v>49</v>
      </c>
    </row>
    <row r="317" ht="15.75" customHeight="1">
      <c r="A317" s="3" t="s">
        <v>48</v>
      </c>
      <c r="B317" s="3">
        <v>3.19183741E8</v>
      </c>
      <c r="C317" s="4">
        <v>46.981</v>
      </c>
      <c r="D317" s="4">
        <v>119.941</v>
      </c>
      <c r="E317" s="4">
        <v>53.577</v>
      </c>
      <c r="F317" s="5">
        <v>18.2</v>
      </c>
      <c r="G317" s="5">
        <v>8.3</v>
      </c>
      <c r="H317" s="4">
        <f t="shared" si="1"/>
        <v>7.128956737</v>
      </c>
      <c r="I317" s="4">
        <f t="shared" si="2"/>
        <v>7.278166004</v>
      </c>
      <c r="J317" s="4">
        <f t="shared" si="3"/>
        <v>7.203561371</v>
      </c>
      <c r="K317" s="4">
        <f t="shared" si="4"/>
        <v>2.238665845</v>
      </c>
      <c r="L317" s="4">
        <f t="shared" si="5"/>
        <v>2.192771084</v>
      </c>
      <c r="M317" s="4">
        <f t="shared" si="6"/>
        <v>0.02093002841</v>
      </c>
      <c r="N317" s="3" t="s">
        <v>49</v>
      </c>
    </row>
    <row r="318" ht="15.75" customHeight="1">
      <c r="A318" s="3" t="s">
        <v>48</v>
      </c>
      <c r="B318" s="3">
        <v>8.8247121E7</v>
      </c>
      <c r="C318" s="4">
        <v>46.376</v>
      </c>
      <c r="D318" s="4">
        <v>98.603</v>
      </c>
      <c r="E318" s="4">
        <v>45.256</v>
      </c>
      <c r="F318" s="5">
        <v>18.2</v>
      </c>
      <c r="G318" s="5">
        <v>8.3</v>
      </c>
      <c r="H318" s="4">
        <f t="shared" si="1"/>
        <v>8.560015415</v>
      </c>
      <c r="I318" s="4">
        <f t="shared" si="2"/>
        <v>8.505409228</v>
      </c>
      <c r="J318" s="4">
        <f t="shared" si="3"/>
        <v>8.532712321</v>
      </c>
      <c r="K318" s="4">
        <f t="shared" si="4"/>
        <v>2.178782924</v>
      </c>
      <c r="L318" s="4">
        <f t="shared" si="5"/>
        <v>2.192771084</v>
      </c>
      <c r="M318" s="4">
        <f t="shared" si="6"/>
        <v>-0.006379216064</v>
      </c>
      <c r="N318" s="3" t="s">
        <v>49</v>
      </c>
    </row>
    <row r="319" ht="15.75" customHeight="1">
      <c r="A319" s="2" t="s">
        <v>48</v>
      </c>
      <c r="B319" s="3">
        <v>6.32599187E8</v>
      </c>
      <c r="C319" s="4">
        <v>37.304</v>
      </c>
      <c r="D319" s="4">
        <v>79.36</v>
      </c>
      <c r="E319" s="4">
        <v>42.302</v>
      </c>
      <c r="F319" s="5">
        <v>18.2</v>
      </c>
      <c r="G319" s="5">
        <v>8.3</v>
      </c>
      <c r="H319" s="4">
        <f t="shared" si="1"/>
        <v>8.555100806</v>
      </c>
      <c r="I319" s="4">
        <f t="shared" si="2"/>
        <v>7.319351331</v>
      </c>
      <c r="J319" s="4">
        <f t="shared" si="3"/>
        <v>7.937226069</v>
      </c>
      <c r="K319" s="4">
        <f t="shared" si="4"/>
        <v>1.87603423</v>
      </c>
      <c r="L319" s="4">
        <f t="shared" si="5"/>
        <v>2.192771084</v>
      </c>
      <c r="M319" s="4">
        <f t="shared" si="6"/>
        <v>-0.144445928</v>
      </c>
      <c r="N319" s="3" t="s">
        <v>49</v>
      </c>
    </row>
    <row r="320" ht="15.75" customHeight="1">
      <c r="A320" s="2" t="s">
        <v>48</v>
      </c>
      <c r="B320" s="3">
        <v>6.39655733E8</v>
      </c>
      <c r="C320" s="4">
        <v>40.694</v>
      </c>
      <c r="D320" s="4">
        <v>97.681</v>
      </c>
      <c r="E320" s="4">
        <v>50.671</v>
      </c>
      <c r="F320" s="5">
        <v>18.2</v>
      </c>
      <c r="G320" s="5">
        <v>8.3</v>
      </c>
      <c r="H320" s="4">
        <f t="shared" si="1"/>
        <v>7.582137775</v>
      </c>
      <c r="I320" s="4">
        <f t="shared" si="2"/>
        <v>6.66574964</v>
      </c>
      <c r="J320" s="4">
        <f t="shared" si="3"/>
        <v>7.123943707</v>
      </c>
      <c r="K320" s="4">
        <f t="shared" si="4"/>
        <v>1.9277496</v>
      </c>
      <c r="L320" s="4">
        <f t="shared" si="5"/>
        <v>2.192771084</v>
      </c>
      <c r="M320" s="4">
        <f t="shared" si="6"/>
        <v>-0.120861446</v>
      </c>
      <c r="N320" s="3" t="s">
        <v>49</v>
      </c>
    </row>
    <row r="321" ht="15.75" customHeight="1">
      <c r="A321" s="3" t="s">
        <v>48</v>
      </c>
      <c r="B321" s="3">
        <v>6.29431866E8</v>
      </c>
      <c r="C321" s="4">
        <v>47.382</v>
      </c>
      <c r="D321" s="4">
        <v>115.449</v>
      </c>
      <c r="E321" s="4">
        <v>52.715</v>
      </c>
      <c r="F321" s="5">
        <v>18.2</v>
      </c>
      <c r="G321" s="5">
        <v>8.3</v>
      </c>
      <c r="H321" s="4">
        <f t="shared" si="1"/>
        <v>7.46955279</v>
      </c>
      <c r="I321" s="4">
        <f t="shared" si="2"/>
        <v>7.460316798</v>
      </c>
      <c r="J321" s="4">
        <f t="shared" si="3"/>
        <v>7.464934794</v>
      </c>
      <c r="K321" s="4">
        <f t="shared" si="4"/>
        <v>2.190059755</v>
      </c>
      <c r="L321" s="4">
        <f t="shared" si="5"/>
        <v>2.192771084</v>
      </c>
      <c r="M321" s="4">
        <f t="shared" si="6"/>
        <v>-0.001236485226</v>
      </c>
      <c r="N321" s="3" t="s">
        <v>49</v>
      </c>
    </row>
    <row r="322" ht="15.75" customHeight="1">
      <c r="A322" s="2" t="s">
        <v>48</v>
      </c>
      <c r="B322" s="3">
        <v>6.30835465E8</v>
      </c>
      <c r="C322" s="4">
        <v>38.132</v>
      </c>
      <c r="D322" s="4">
        <v>94.049</v>
      </c>
      <c r="E322" s="4">
        <v>49.174</v>
      </c>
      <c r="F322" s="5">
        <v>18.2</v>
      </c>
      <c r="G322" s="5">
        <v>8.3</v>
      </c>
      <c r="H322" s="4">
        <f t="shared" si="1"/>
        <v>7.379157673</v>
      </c>
      <c r="I322" s="4">
        <f t="shared" si="2"/>
        <v>6.436238663</v>
      </c>
      <c r="J322" s="4">
        <f t="shared" si="3"/>
        <v>6.907698168</v>
      </c>
      <c r="K322" s="4">
        <f t="shared" si="4"/>
        <v>1.912575751</v>
      </c>
      <c r="L322" s="4">
        <f t="shared" si="5"/>
        <v>2.192771084</v>
      </c>
      <c r="M322" s="4">
        <f t="shared" si="6"/>
        <v>-0.1277813881</v>
      </c>
      <c r="N322" s="3" t="s">
        <v>49</v>
      </c>
    </row>
    <row r="323" ht="15.75" customHeight="1">
      <c r="A323" s="2" t="s">
        <v>48</v>
      </c>
      <c r="B323" s="3">
        <v>6.16378405E8</v>
      </c>
      <c r="C323" s="4">
        <v>39.763</v>
      </c>
      <c r="D323" s="4">
        <v>100.892</v>
      </c>
      <c r="E323" s="4">
        <v>53.343</v>
      </c>
      <c r="F323" s="5">
        <v>18.2</v>
      </c>
      <c r="G323" s="5">
        <v>8.3</v>
      </c>
      <c r="H323" s="4">
        <f t="shared" si="1"/>
        <v>7.172883876</v>
      </c>
      <c r="I323" s="4">
        <f t="shared" si="2"/>
        <v>6.186995482</v>
      </c>
      <c r="J323" s="4">
        <f t="shared" si="3"/>
        <v>6.679939679</v>
      </c>
      <c r="K323" s="4">
        <f t="shared" si="4"/>
        <v>1.891382187</v>
      </c>
      <c r="L323" s="4">
        <f t="shared" si="5"/>
        <v>2.192771084</v>
      </c>
      <c r="M323" s="4">
        <f t="shared" si="6"/>
        <v>-0.1374465851</v>
      </c>
      <c r="N323" s="3" t="s">
        <v>49</v>
      </c>
    </row>
    <row r="324" ht="15.75" customHeight="1">
      <c r="A324" s="14" t="s">
        <v>48</v>
      </c>
      <c r="B324" s="15">
        <v>6.41683647E8</v>
      </c>
      <c r="C324" s="15">
        <v>65.96</v>
      </c>
      <c r="D324" s="15">
        <v>132.607</v>
      </c>
      <c r="E324" s="15">
        <v>67.667</v>
      </c>
      <c r="F324" s="16">
        <v>18.2</v>
      </c>
      <c r="G324" s="16">
        <v>8.3</v>
      </c>
      <c r="H324" s="15">
        <v>9.05285543</v>
      </c>
      <c r="I324" s="15">
        <v>8.090620243</v>
      </c>
      <c r="J324" s="15">
        <v>8.57173784</v>
      </c>
      <c r="K324" s="15">
        <v>1.9597</v>
      </c>
      <c r="L324" s="15">
        <v>2.19277108</v>
      </c>
      <c r="M324" s="15">
        <v>-0.106290793</v>
      </c>
      <c r="N324" s="14" t="s">
        <v>49</v>
      </c>
    </row>
    <row r="325" ht="15.75" customHeight="1">
      <c r="A325" s="14" t="s">
        <v>48</v>
      </c>
      <c r="B325" s="15">
        <v>6.10615176E8</v>
      </c>
      <c r="C325" s="15">
        <v>53.033</v>
      </c>
      <c r="D325" s="15">
        <v>123.509</v>
      </c>
      <c r="E325" s="15">
        <v>61.0</v>
      </c>
      <c r="F325" s="16">
        <v>18.2</v>
      </c>
      <c r="G325" s="16">
        <v>8.3</v>
      </c>
      <c r="H325" s="15">
        <v>7.814819973</v>
      </c>
      <c r="I325" s="15">
        <v>7.215965574</v>
      </c>
      <c r="J325" s="15">
        <v>7.51539277</v>
      </c>
      <c r="K325" s="15">
        <v>2.024738</v>
      </c>
      <c r="L325" s="15">
        <v>2.19277108</v>
      </c>
      <c r="M325" s="15">
        <v>-0.076630607</v>
      </c>
      <c r="N325" s="14" t="s">
        <v>49</v>
      </c>
    </row>
    <row r="326" ht="15.75" customHeight="1">
      <c r="A326" s="14" t="s">
        <v>48</v>
      </c>
      <c r="B326" s="15">
        <v>2.37463621E8</v>
      </c>
      <c r="C326" s="17">
        <v>48.912</v>
      </c>
      <c r="D326" s="15">
        <v>102.311</v>
      </c>
      <c r="E326" s="15">
        <v>45.87</v>
      </c>
      <c r="F326" s="16">
        <v>18.2</v>
      </c>
      <c r="G326" s="16">
        <v>8.3</v>
      </c>
      <c r="H326" s="15">
        <v>8.700906061</v>
      </c>
      <c r="I326" s="15">
        <v>8.850438195</v>
      </c>
      <c r="J326" s="15">
        <v>8.77567213</v>
      </c>
      <c r="K326" s="15">
        <v>2.230456</v>
      </c>
      <c r="L326" s="15">
        <v>2.19277108</v>
      </c>
      <c r="M326" s="15">
        <v>0.017185812</v>
      </c>
      <c r="N326" s="14" t="s">
        <v>49</v>
      </c>
    </row>
    <row r="327" ht="15.75" customHeight="1">
      <c r="A327" s="14" t="s">
        <v>48</v>
      </c>
      <c r="B327" s="15">
        <v>2.04702131E8</v>
      </c>
      <c r="C327" s="15">
        <v>70.623</v>
      </c>
      <c r="D327" s="15">
        <v>137.316</v>
      </c>
      <c r="E327" s="15">
        <v>61.166</v>
      </c>
      <c r="F327" s="16">
        <v>18.2</v>
      </c>
      <c r="G327" s="16">
        <v>8.3</v>
      </c>
      <c r="H327" s="15">
        <v>9.360443066</v>
      </c>
      <c r="I327" s="15">
        <v>9.583279927</v>
      </c>
      <c r="J327" s="15">
        <v>9.4718615</v>
      </c>
      <c r="K327" s="15">
        <v>2.244973</v>
      </c>
      <c r="L327" s="15">
        <v>2.19277108</v>
      </c>
      <c r="M327" s="15">
        <v>0.02380623</v>
      </c>
      <c r="N327" s="14" t="s">
        <v>49</v>
      </c>
    </row>
    <row r="328" ht="15.75" customHeight="1">
      <c r="A328" s="3" t="s">
        <v>50</v>
      </c>
      <c r="B328" s="3">
        <v>6.46892299E8</v>
      </c>
      <c r="C328" s="4">
        <v>52.082</v>
      </c>
      <c r="D328" s="4">
        <v>79.336</v>
      </c>
      <c r="E328" s="4">
        <v>38.966</v>
      </c>
      <c r="F328" s="5">
        <v>7.3</v>
      </c>
      <c r="G328" s="5">
        <v>3.6</v>
      </c>
      <c r="H328" s="4">
        <f t="shared" ref="H328:H360" si="7">(C328/D328)*F328</f>
        <v>4.792258243</v>
      </c>
      <c r="I328" s="4">
        <f t="shared" ref="I328:I360" si="8">(C328/E328)*G328</f>
        <v>4.811764102</v>
      </c>
      <c r="J328" s="4">
        <f t="shared" ref="J328:J360" si="9">AVERAGE(H328:I328)</f>
        <v>4.802011173</v>
      </c>
      <c r="K328" s="4">
        <f t="shared" ref="K328:K360" si="10">D328/E328</f>
        <v>2.036031412</v>
      </c>
      <c r="L328" s="4">
        <f t="shared" ref="L328:L360" si="11">F328/G328</f>
        <v>2.027777778</v>
      </c>
      <c r="M328" s="4">
        <f t="shared" ref="M328:M360" si="12">(K328-L328)/L328</f>
        <v>0.00407028537</v>
      </c>
      <c r="N328" s="3" t="s">
        <v>51</v>
      </c>
    </row>
    <row r="329" ht="15.75" customHeight="1">
      <c r="A329" s="6" t="s">
        <v>50</v>
      </c>
      <c r="B329" s="3">
        <v>2.21735431E8</v>
      </c>
      <c r="C329" s="4">
        <v>34.17</v>
      </c>
      <c r="D329" s="4">
        <v>57.628</v>
      </c>
      <c r="E329" s="4">
        <v>36.897</v>
      </c>
      <c r="F329" s="5">
        <v>7.3</v>
      </c>
      <c r="G329" s="5">
        <v>3.6</v>
      </c>
      <c r="H329" s="4">
        <f t="shared" si="7"/>
        <v>4.3284688</v>
      </c>
      <c r="I329" s="4">
        <f t="shared" si="8"/>
        <v>3.333929588</v>
      </c>
      <c r="J329" s="4">
        <f t="shared" si="9"/>
        <v>3.831199194</v>
      </c>
      <c r="K329" s="4">
        <f t="shared" si="10"/>
        <v>1.561861398</v>
      </c>
      <c r="L329" s="4">
        <f t="shared" si="11"/>
        <v>2.027777778</v>
      </c>
      <c r="M329" s="4">
        <f t="shared" si="12"/>
        <v>-0.2297669818</v>
      </c>
      <c r="N329" s="3" t="s">
        <v>51</v>
      </c>
    </row>
    <row r="330" ht="15.75" customHeight="1">
      <c r="A330" s="12" t="s">
        <v>50</v>
      </c>
      <c r="B330" s="3">
        <v>2.49742481E8</v>
      </c>
      <c r="C330" s="4">
        <v>36.406</v>
      </c>
      <c r="D330" s="4">
        <v>52.922</v>
      </c>
      <c r="E330" s="4">
        <v>30.334</v>
      </c>
      <c r="F330" s="5">
        <v>7.3</v>
      </c>
      <c r="G330" s="5">
        <v>3.6</v>
      </c>
      <c r="H330" s="4">
        <f t="shared" si="7"/>
        <v>5.021801897</v>
      </c>
      <c r="I330" s="4">
        <f t="shared" si="8"/>
        <v>4.320617129</v>
      </c>
      <c r="J330" s="4">
        <f t="shared" si="9"/>
        <v>4.671209513</v>
      </c>
      <c r="K330" s="4">
        <f t="shared" si="10"/>
        <v>1.744642975</v>
      </c>
      <c r="L330" s="4">
        <f t="shared" si="11"/>
        <v>2.027777778</v>
      </c>
      <c r="M330" s="4">
        <f t="shared" si="12"/>
        <v>-0.139628122</v>
      </c>
      <c r="N330" s="3" t="s">
        <v>51</v>
      </c>
    </row>
    <row r="331" ht="15.75" customHeight="1">
      <c r="A331" s="2" t="s">
        <v>50</v>
      </c>
      <c r="B331" s="3">
        <v>6.45986955E8</v>
      </c>
      <c r="C331" s="4">
        <v>32.218</v>
      </c>
      <c r="D331" s="4">
        <v>58.007</v>
      </c>
      <c r="E331" s="4">
        <v>32.657</v>
      </c>
      <c r="F331" s="5">
        <v>7.3</v>
      </c>
      <c r="G331" s="5">
        <v>3.6</v>
      </c>
      <c r="H331" s="4">
        <f t="shared" si="7"/>
        <v>4.054534798</v>
      </c>
      <c r="I331" s="4">
        <f t="shared" si="8"/>
        <v>3.551606088</v>
      </c>
      <c r="J331" s="4">
        <f t="shared" si="9"/>
        <v>3.803070443</v>
      </c>
      <c r="K331" s="4">
        <f t="shared" si="10"/>
        <v>1.776250115</v>
      </c>
      <c r="L331" s="4">
        <f t="shared" si="11"/>
        <v>2.027777778</v>
      </c>
      <c r="M331" s="4">
        <f t="shared" si="12"/>
        <v>-0.1240410393</v>
      </c>
      <c r="N331" s="3" t="s">
        <v>51</v>
      </c>
    </row>
    <row r="332" ht="15.75" customHeight="1">
      <c r="A332" s="3" t="s">
        <v>50</v>
      </c>
      <c r="B332" s="3">
        <v>3.88212801E8</v>
      </c>
      <c r="C332" s="4">
        <v>37.482</v>
      </c>
      <c r="D332" s="4">
        <v>55.21</v>
      </c>
      <c r="E332" s="4">
        <v>29.205</v>
      </c>
      <c r="F332" s="5">
        <v>7.3</v>
      </c>
      <c r="G332" s="5">
        <v>3.6</v>
      </c>
      <c r="H332" s="4">
        <f t="shared" si="7"/>
        <v>4.955960877</v>
      </c>
      <c r="I332" s="4">
        <f t="shared" si="8"/>
        <v>4.62027735</v>
      </c>
      <c r="J332" s="4">
        <f t="shared" si="9"/>
        <v>4.788119113</v>
      </c>
      <c r="K332" s="4">
        <f t="shared" si="10"/>
        <v>1.890429721</v>
      </c>
      <c r="L332" s="4">
        <f t="shared" si="11"/>
        <v>2.027777778</v>
      </c>
      <c r="M332" s="4">
        <f t="shared" si="12"/>
        <v>-0.0677332883</v>
      </c>
      <c r="N332" s="3" t="s">
        <v>51</v>
      </c>
    </row>
    <row r="333" ht="15.75" customHeight="1">
      <c r="A333" s="6" t="s">
        <v>50</v>
      </c>
      <c r="B333" s="3">
        <v>4.78124911E8</v>
      </c>
      <c r="C333" s="4">
        <v>45.241</v>
      </c>
      <c r="D333" s="4">
        <v>77.896</v>
      </c>
      <c r="E333" s="4">
        <v>46.412</v>
      </c>
      <c r="F333" s="5">
        <v>7.3</v>
      </c>
      <c r="G333" s="5">
        <v>3.6</v>
      </c>
      <c r="H333" s="4">
        <f t="shared" si="7"/>
        <v>4.239746585</v>
      </c>
      <c r="I333" s="4">
        <f t="shared" si="8"/>
        <v>3.509170042</v>
      </c>
      <c r="J333" s="4">
        <f t="shared" si="9"/>
        <v>3.874458314</v>
      </c>
      <c r="K333" s="4">
        <f t="shared" si="10"/>
        <v>1.678359045</v>
      </c>
      <c r="L333" s="4">
        <f t="shared" si="11"/>
        <v>2.027777778</v>
      </c>
      <c r="M333" s="4">
        <f t="shared" si="12"/>
        <v>-0.1723160874</v>
      </c>
      <c r="N333" s="3" t="s">
        <v>51</v>
      </c>
    </row>
    <row r="334" ht="15.75" customHeight="1">
      <c r="A334" s="3" t="s">
        <v>50</v>
      </c>
      <c r="B334" s="3">
        <v>6.17421159E8</v>
      </c>
      <c r="C334" s="4">
        <v>52.845</v>
      </c>
      <c r="D334" s="4">
        <v>77.046</v>
      </c>
      <c r="E334" s="4">
        <v>37.355</v>
      </c>
      <c r="F334" s="5">
        <v>7.3</v>
      </c>
      <c r="G334" s="5">
        <v>3.6</v>
      </c>
      <c r="H334" s="4">
        <f t="shared" si="7"/>
        <v>5.006989331</v>
      </c>
      <c r="I334" s="4">
        <f t="shared" si="8"/>
        <v>5.092812207</v>
      </c>
      <c r="J334" s="4">
        <f t="shared" si="9"/>
        <v>5.049900769</v>
      </c>
      <c r="K334" s="4">
        <f t="shared" si="10"/>
        <v>2.062535136</v>
      </c>
      <c r="L334" s="4">
        <f t="shared" si="11"/>
        <v>2.027777778</v>
      </c>
      <c r="M334" s="4">
        <f t="shared" si="12"/>
        <v>0.01714061494</v>
      </c>
      <c r="N334" s="3" t="s">
        <v>51</v>
      </c>
    </row>
    <row r="335" ht="15.75" customHeight="1">
      <c r="A335" s="3" t="s">
        <v>50</v>
      </c>
      <c r="B335" s="3">
        <v>6.4721584E8</v>
      </c>
      <c r="C335" s="4">
        <v>32.673</v>
      </c>
      <c r="D335" s="4">
        <v>57.839</v>
      </c>
      <c r="E335" s="4">
        <v>31.549</v>
      </c>
      <c r="F335" s="5">
        <v>7.3</v>
      </c>
      <c r="G335" s="5">
        <v>3.6</v>
      </c>
      <c r="H335" s="4">
        <f t="shared" si="7"/>
        <v>4.123738308</v>
      </c>
      <c r="I335" s="4">
        <f t="shared" si="8"/>
        <v>3.728257631</v>
      </c>
      <c r="J335" s="4">
        <f t="shared" si="9"/>
        <v>3.92599797</v>
      </c>
      <c r="K335" s="4">
        <f t="shared" si="10"/>
        <v>1.833306919</v>
      </c>
      <c r="L335" s="4">
        <f t="shared" si="11"/>
        <v>2.027777778</v>
      </c>
      <c r="M335" s="4">
        <f t="shared" si="12"/>
        <v>-0.09590343701</v>
      </c>
      <c r="N335" s="3" t="s">
        <v>51</v>
      </c>
    </row>
    <row r="336" ht="15.75" customHeight="1">
      <c r="A336" s="3" t="s">
        <v>50</v>
      </c>
      <c r="B336" s="3">
        <v>6.46596582E8</v>
      </c>
      <c r="C336" s="4">
        <v>47.196</v>
      </c>
      <c r="D336" s="4">
        <v>84.71</v>
      </c>
      <c r="E336" s="4">
        <v>44.391</v>
      </c>
      <c r="F336" s="5">
        <v>7.3</v>
      </c>
      <c r="G336" s="5">
        <v>3.6</v>
      </c>
      <c r="H336" s="4">
        <f t="shared" si="7"/>
        <v>4.06717979</v>
      </c>
      <c r="I336" s="4">
        <f t="shared" si="8"/>
        <v>3.827478543</v>
      </c>
      <c r="J336" s="4">
        <f t="shared" si="9"/>
        <v>3.947329166</v>
      </c>
      <c r="K336" s="4">
        <f t="shared" si="10"/>
        <v>1.908269694</v>
      </c>
      <c r="L336" s="4">
        <f t="shared" si="11"/>
        <v>2.027777778</v>
      </c>
      <c r="M336" s="4">
        <f t="shared" si="12"/>
        <v>-0.05893549322</v>
      </c>
      <c r="N336" s="3" t="s">
        <v>51</v>
      </c>
    </row>
    <row r="337" ht="15.75" customHeight="1">
      <c r="A337" s="2" t="s">
        <v>50</v>
      </c>
      <c r="B337" s="3">
        <v>5.63432601E8</v>
      </c>
      <c r="C337" s="4">
        <v>43.544</v>
      </c>
      <c r="D337" s="4">
        <v>62.538</v>
      </c>
      <c r="E337" s="4">
        <v>35.228</v>
      </c>
      <c r="F337" s="5">
        <v>7.3</v>
      </c>
      <c r="G337" s="5">
        <v>3.6</v>
      </c>
      <c r="H337" s="4">
        <f t="shared" si="7"/>
        <v>5.082848828</v>
      </c>
      <c r="I337" s="4">
        <f t="shared" si="8"/>
        <v>4.449824004</v>
      </c>
      <c r="J337" s="4">
        <f t="shared" si="9"/>
        <v>4.766336416</v>
      </c>
      <c r="K337" s="4">
        <f t="shared" si="10"/>
        <v>1.775235608</v>
      </c>
      <c r="L337" s="4">
        <f t="shared" si="11"/>
        <v>2.027777778</v>
      </c>
      <c r="M337" s="4">
        <f t="shared" si="12"/>
        <v>-0.124541344</v>
      </c>
      <c r="N337" s="3" t="s">
        <v>51</v>
      </c>
    </row>
    <row r="338" ht="15.75" customHeight="1">
      <c r="A338" s="2" t="s">
        <v>50</v>
      </c>
      <c r="B338" s="3">
        <v>6.2441997E8</v>
      </c>
      <c r="C338" s="4">
        <v>43.895</v>
      </c>
      <c r="D338" s="4">
        <v>69.757</v>
      </c>
      <c r="E338" s="4">
        <v>40.094</v>
      </c>
      <c r="F338" s="5">
        <v>7.3</v>
      </c>
      <c r="G338" s="5">
        <v>3.6</v>
      </c>
      <c r="H338" s="4">
        <f t="shared" si="7"/>
        <v>4.593567671</v>
      </c>
      <c r="I338" s="4">
        <f t="shared" si="8"/>
        <v>3.941287973</v>
      </c>
      <c r="J338" s="4">
        <f t="shared" si="9"/>
        <v>4.267427822</v>
      </c>
      <c r="K338" s="4">
        <f t="shared" si="10"/>
        <v>1.739836384</v>
      </c>
      <c r="L338" s="4">
        <f t="shared" si="11"/>
        <v>2.027777778</v>
      </c>
      <c r="M338" s="4">
        <f t="shared" si="12"/>
        <v>-0.1419984953</v>
      </c>
      <c r="N338" s="3" t="s">
        <v>51</v>
      </c>
    </row>
    <row r="339" ht="15.75" customHeight="1">
      <c r="A339" s="2" t="s">
        <v>50</v>
      </c>
      <c r="B339" s="3">
        <v>1.62053501E8</v>
      </c>
      <c r="C339" s="4">
        <v>42.333</v>
      </c>
      <c r="D339" s="4">
        <v>66.784</v>
      </c>
      <c r="E339" s="4">
        <v>38.389</v>
      </c>
      <c r="F339" s="5">
        <v>7.3</v>
      </c>
      <c r="G339" s="5">
        <v>3.6</v>
      </c>
      <c r="H339" s="4">
        <f t="shared" si="7"/>
        <v>4.627319418</v>
      </c>
      <c r="I339" s="4">
        <f t="shared" si="8"/>
        <v>3.969855948</v>
      </c>
      <c r="J339" s="4">
        <f t="shared" si="9"/>
        <v>4.298587683</v>
      </c>
      <c r="K339" s="4">
        <f t="shared" si="10"/>
        <v>1.739665008</v>
      </c>
      <c r="L339" s="4">
        <f t="shared" si="11"/>
        <v>2.027777778</v>
      </c>
      <c r="M339" s="4">
        <f t="shared" si="12"/>
        <v>-0.1420830097</v>
      </c>
      <c r="N339" s="3" t="s">
        <v>51</v>
      </c>
    </row>
    <row r="340" ht="15.75" customHeight="1">
      <c r="A340" s="3" t="s">
        <v>50</v>
      </c>
      <c r="B340" s="3">
        <v>5.56779161E8</v>
      </c>
      <c r="C340" s="4">
        <v>55.904</v>
      </c>
      <c r="D340" s="4">
        <v>96.209</v>
      </c>
      <c r="E340" s="4">
        <v>45.678</v>
      </c>
      <c r="F340" s="5">
        <v>7.3</v>
      </c>
      <c r="G340" s="5">
        <v>3.6</v>
      </c>
      <c r="H340" s="4">
        <f t="shared" si="7"/>
        <v>4.241798584</v>
      </c>
      <c r="I340" s="4">
        <f t="shared" si="8"/>
        <v>4.405937213</v>
      </c>
      <c r="J340" s="4">
        <f t="shared" si="9"/>
        <v>4.323867898</v>
      </c>
      <c r="K340" s="4">
        <f t="shared" si="10"/>
        <v>2.106243706</v>
      </c>
      <c r="L340" s="4">
        <f t="shared" si="11"/>
        <v>2.027777778</v>
      </c>
      <c r="M340" s="4">
        <f t="shared" si="12"/>
        <v>0.03869552622</v>
      </c>
      <c r="N340" s="3" t="s">
        <v>51</v>
      </c>
    </row>
    <row r="341" ht="15.75" customHeight="1">
      <c r="A341" s="6" t="s">
        <v>50</v>
      </c>
      <c r="B341" s="3">
        <v>4.89261871E8</v>
      </c>
      <c r="C341" s="4">
        <v>45.108</v>
      </c>
      <c r="D341" s="4">
        <v>66.645</v>
      </c>
      <c r="E341" s="4">
        <v>39.717</v>
      </c>
      <c r="F341" s="5">
        <v>7.3</v>
      </c>
      <c r="G341" s="5">
        <v>3.6</v>
      </c>
      <c r="H341" s="4">
        <f t="shared" si="7"/>
        <v>4.940931803</v>
      </c>
      <c r="I341" s="4">
        <f t="shared" si="8"/>
        <v>4.088647179</v>
      </c>
      <c r="J341" s="4">
        <f t="shared" si="9"/>
        <v>4.514789491</v>
      </c>
      <c r="K341" s="4">
        <f t="shared" si="10"/>
        <v>1.677996828</v>
      </c>
      <c r="L341" s="4">
        <f t="shared" si="11"/>
        <v>2.027777778</v>
      </c>
      <c r="M341" s="4">
        <f t="shared" si="12"/>
        <v>-0.1724947152</v>
      </c>
      <c r="N341" s="3" t="s">
        <v>51</v>
      </c>
    </row>
    <row r="342" ht="15.75" customHeight="1">
      <c r="A342" s="3" t="s">
        <v>50</v>
      </c>
      <c r="B342" s="3">
        <v>6.28229297E8</v>
      </c>
      <c r="C342" s="4">
        <v>33.247</v>
      </c>
      <c r="D342" s="4">
        <v>55.403</v>
      </c>
      <c r="E342" s="4">
        <v>29.724</v>
      </c>
      <c r="F342" s="5">
        <v>7.3</v>
      </c>
      <c r="G342" s="5">
        <v>3.6</v>
      </c>
      <c r="H342" s="4">
        <f t="shared" si="7"/>
        <v>4.380685161</v>
      </c>
      <c r="I342" s="4">
        <f t="shared" si="8"/>
        <v>4.026685507</v>
      </c>
      <c r="J342" s="4">
        <f t="shared" si="9"/>
        <v>4.203685334</v>
      </c>
      <c r="K342" s="4">
        <f t="shared" si="10"/>
        <v>1.863914682</v>
      </c>
      <c r="L342" s="4">
        <f t="shared" si="11"/>
        <v>2.027777778</v>
      </c>
      <c r="M342" s="4">
        <f t="shared" si="12"/>
        <v>-0.08080919805</v>
      </c>
      <c r="N342" s="3" t="s">
        <v>51</v>
      </c>
    </row>
    <row r="343" ht="15.75" customHeight="1">
      <c r="A343" s="3" t="s">
        <v>50</v>
      </c>
      <c r="B343" s="10">
        <v>2.48345971E8</v>
      </c>
      <c r="C343" s="9">
        <v>87.414</v>
      </c>
      <c r="D343" s="9">
        <v>135.484</v>
      </c>
      <c r="E343" s="9">
        <v>72.173</v>
      </c>
      <c r="F343" s="5">
        <v>7.3</v>
      </c>
      <c r="G343" s="5">
        <v>3.6</v>
      </c>
      <c r="H343" s="4">
        <f t="shared" si="7"/>
        <v>4.709945086</v>
      </c>
      <c r="I343" s="4">
        <f t="shared" si="8"/>
        <v>4.360223352</v>
      </c>
      <c r="J343" s="4">
        <f t="shared" si="9"/>
        <v>4.535084219</v>
      </c>
      <c r="K343" s="4">
        <f t="shared" si="10"/>
        <v>1.8772117</v>
      </c>
      <c r="L343" s="4">
        <f t="shared" si="11"/>
        <v>2.027777778</v>
      </c>
      <c r="M343" s="4">
        <f t="shared" si="12"/>
        <v>-0.07425176455</v>
      </c>
      <c r="N343" s="3" t="s">
        <v>51</v>
      </c>
    </row>
    <row r="344" ht="15.75" customHeight="1">
      <c r="A344" s="3" t="s">
        <v>50</v>
      </c>
      <c r="B344" s="10">
        <v>7.7376161E7</v>
      </c>
      <c r="C344" s="9">
        <v>124.036</v>
      </c>
      <c r="D344" s="9">
        <v>173.669</v>
      </c>
      <c r="E344" s="9">
        <v>93.005</v>
      </c>
      <c r="F344" s="5">
        <v>7.3</v>
      </c>
      <c r="G344" s="5">
        <v>3.6</v>
      </c>
      <c r="H344" s="4">
        <f t="shared" si="7"/>
        <v>5.213727263</v>
      </c>
      <c r="I344" s="4">
        <f t="shared" si="8"/>
        <v>4.801135423</v>
      </c>
      <c r="J344" s="4">
        <f t="shared" si="9"/>
        <v>5.007431343</v>
      </c>
      <c r="K344" s="4">
        <f t="shared" si="10"/>
        <v>1.867308209</v>
      </c>
      <c r="L344" s="4">
        <f t="shared" si="11"/>
        <v>2.027777778</v>
      </c>
      <c r="M344" s="4">
        <f t="shared" si="12"/>
        <v>-0.07913567764</v>
      </c>
      <c r="N344" s="3" t="s">
        <v>51</v>
      </c>
    </row>
    <row r="345" ht="15.75" customHeight="1">
      <c r="A345" s="3" t="s">
        <v>50</v>
      </c>
      <c r="B345" s="10">
        <v>6.31555826E8</v>
      </c>
      <c r="C345" s="9">
        <v>91.005</v>
      </c>
      <c r="D345" s="9">
        <v>133.838</v>
      </c>
      <c r="E345" s="9">
        <v>65.156</v>
      </c>
      <c r="F345" s="5">
        <v>7.3</v>
      </c>
      <c r="G345" s="5">
        <v>3.6</v>
      </c>
      <c r="H345" s="4">
        <f t="shared" si="7"/>
        <v>4.963736009</v>
      </c>
      <c r="I345" s="4">
        <f t="shared" si="8"/>
        <v>5.028209221</v>
      </c>
      <c r="J345" s="4">
        <f t="shared" si="9"/>
        <v>4.995972615</v>
      </c>
      <c r="K345" s="4">
        <f t="shared" si="10"/>
        <v>2.054116275</v>
      </c>
      <c r="L345" s="4">
        <f t="shared" si="11"/>
        <v>2.027777778</v>
      </c>
      <c r="M345" s="4">
        <f t="shared" si="12"/>
        <v>0.01298884784</v>
      </c>
      <c r="N345" s="3" t="s">
        <v>51</v>
      </c>
    </row>
    <row r="346" ht="15.75" customHeight="1">
      <c r="A346" s="3" t="s">
        <v>52</v>
      </c>
      <c r="B346" s="3">
        <v>1.35405471E8</v>
      </c>
      <c r="C346" s="4">
        <v>45.55</v>
      </c>
      <c r="D346" s="4">
        <v>107.136</v>
      </c>
      <c r="E346" s="4">
        <v>49.312</v>
      </c>
      <c r="F346" s="5">
        <v>13.2</v>
      </c>
      <c r="G346" s="5">
        <v>5.9</v>
      </c>
      <c r="H346" s="4">
        <f t="shared" si="7"/>
        <v>5.612119176</v>
      </c>
      <c r="I346" s="4">
        <f t="shared" si="8"/>
        <v>5.449890493</v>
      </c>
      <c r="J346" s="4">
        <f t="shared" si="9"/>
        <v>5.531004834</v>
      </c>
      <c r="K346" s="4">
        <f t="shared" si="10"/>
        <v>2.172615185</v>
      </c>
      <c r="L346" s="4">
        <f t="shared" si="11"/>
        <v>2.237288136</v>
      </c>
      <c r="M346" s="4">
        <f t="shared" si="12"/>
        <v>-0.02890684915</v>
      </c>
      <c r="N346" s="3" t="s">
        <v>53</v>
      </c>
    </row>
    <row r="347" ht="15.75" customHeight="1">
      <c r="A347" s="2" t="s">
        <v>52</v>
      </c>
      <c r="B347" s="3">
        <v>6.36474169E8</v>
      </c>
      <c r="C347" s="4">
        <v>55.145</v>
      </c>
      <c r="D347" s="4">
        <v>112.688</v>
      </c>
      <c r="E347" s="4">
        <v>58.769</v>
      </c>
      <c r="F347" s="5">
        <v>13.2</v>
      </c>
      <c r="G347" s="5">
        <v>5.9</v>
      </c>
      <c r="H347" s="4">
        <f t="shared" si="7"/>
        <v>6.459552037</v>
      </c>
      <c r="I347" s="4">
        <f t="shared" si="8"/>
        <v>5.536175535</v>
      </c>
      <c r="J347" s="4">
        <f t="shared" si="9"/>
        <v>5.997863786</v>
      </c>
      <c r="K347" s="4">
        <f t="shared" si="10"/>
        <v>1.917473498</v>
      </c>
      <c r="L347" s="4">
        <f t="shared" si="11"/>
        <v>2.237288136</v>
      </c>
      <c r="M347" s="4">
        <f t="shared" si="12"/>
        <v>-0.1429474517</v>
      </c>
      <c r="N347" s="3" t="s">
        <v>53</v>
      </c>
    </row>
    <row r="348" ht="15.75" customHeight="1">
      <c r="A348" s="11" t="s">
        <v>52</v>
      </c>
      <c r="B348" s="3">
        <v>6.32089508E8</v>
      </c>
      <c r="C348" s="4">
        <v>68.638</v>
      </c>
      <c r="D348" s="4">
        <v>131.746</v>
      </c>
      <c r="E348" s="4">
        <v>66.03</v>
      </c>
      <c r="F348" s="5">
        <v>13.2</v>
      </c>
      <c r="G348" s="5">
        <v>5.9</v>
      </c>
      <c r="H348" s="4">
        <f t="shared" si="7"/>
        <v>6.877033079</v>
      </c>
      <c r="I348" s="4">
        <f t="shared" si="8"/>
        <v>6.13303347</v>
      </c>
      <c r="J348" s="4">
        <f t="shared" si="9"/>
        <v>6.505033274</v>
      </c>
      <c r="K348" s="4">
        <f t="shared" si="10"/>
        <v>1.995244586</v>
      </c>
      <c r="L348" s="4">
        <f t="shared" si="11"/>
        <v>2.237288136</v>
      </c>
      <c r="M348" s="4">
        <f t="shared" si="12"/>
        <v>-0.1081861321</v>
      </c>
      <c r="N348" s="3" t="s">
        <v>53</v>
      </c>
    </row>
    <row r="349" ht="15.75" customHeight="1">
      <c r="A349" s="2" t="s">
        <v>52</v>
      </c>
      <c r="B349" s="3">
        <v>6.33637836E8</v>
      </c>
      <c r="C349" s="4">
        <v>37.024</v>
      </c>
      <c r="D349" s="4">
        <v>88.759</v>
      </c>
      <c r="E349" s="4">
        <v>45.251</v>
      </c>
      <c r="F349" s="5">
        <v>13.2</v>
      </c>
      <c r="G349" s="5">
        <v>5.9</v>
      </c>
      <c r="H349" s="4">
        <f t="shared" si="7"/>
        <v>5.506109803</v>
      </c>
      <c r="I349" s="4">
        <f t="shared" si="8"/>
        <v>4.827331993</v>
      </c>
      <c r="J349" s="4">
        <f t="shared" si="9"/>
        <v>5.166720898</v>
      </c>
      <c r="K349" s="4">
        <f t="shared" si="10"/>
        <v>1.961481514</v>
      </c>
      <c r="L349" s="4">
        <f t="shared" si="11"/>
        <v>2.237288136</v>
      </c>
      <c r="M349" s="4">
        <f t="shared" si="12"/>
        <v>-0.123277202</v>
      </c>
      <c r="N349" s="3" t="s">
        <v>53</v>
      </c>
    </row>
    <row r="350" ht="15.75" customHeight="1">
      <c r="A350" s="6" t="s">
        <v>52</v>
      </c>
      <c r="B350" s="3">
        <v>6.39284999E8</v>
      </c>
      <c r="C350" s="4">
        <v>42.048</v>
      </c>
      <c r="D350" s="4">
        <v>91.547</v>
      </c>
      <c r="E350" s="4">
        <v>50.419</v>
      </c>
      <c r="F350" s="5">
        <v>13.2</v>
      </c>
      <c r="G350" s="5">
        <v>5.9</v>
      </c>
      <c r="H350" s="4">
        <f t="shared" si="7"/>
        <v>6.062826745</v>
      </c>
      <c r="I350" s="4">
        <f t="shared" si="8"/>
        <v>4.92043079</v>
      </c>
      <c r="J350" s="4">
        <f t="shared" si="9"/>
        <v>5.491628767</v>
      </c>
      <c r="K350" s="4">
        <f t="shared" si="10"/>
        <v>1.815724231</v>
      </c>
      <c r="L350" s="4">
        <f t="shared" si="11"/>
        <v>2.237288136</v>
      </c>
      <c r="M350" s="4">
        <f t="shared" si="12"/>
        <v>-0.1884262907</v>
      </c>
      <c r="N350" s="3" t="s">
        <v>53</v>
      </c>
    </row>
    <row r="351" ht="15.75" customHeight="1">
      <c r="A351" s="3" t="s">
        <v>52</v>
      </c>
      <c r="B351" s="3">
        <v>1.17153981E8</v>
      </c>
      <c r="C351" s="4">
        <v>64.018</v>
      </c>
      <c r="D351" s="4">
        <v>145.344</v>
      </c>
      <c r="E351" s="4">
        <v>64.195</v>
      </c>
      <c r="F351" s="5">
        <v>13.2</v>
      </c>
      <c r="G351" s="5">
        <v>5.9</v>
      </c>
      <c r="H351" s="4">
        <f t="shared" si="7"/>
        <v>5.81405218</v>
      </c>
      <c r="I351" s="4">
        <f t="shared" si="8"/>
        <v>5.883732378</v>
      </c>
      <c r="J351" s="4">
        <f t="shared" si="9"/>
        <v>5.848892279</v>
      </c>
      <c r="K351" s="4">
        <f t="shared" si="10"/>
        <v>2.264101566</v>
      </c>
      <c r="L351" s="4">
        <f t="shared" si="11"/>
        <v>2.237288136</v>
      </c>
      <c r="M351" s="4">
        <f t="shared" si="12"/>
        <v>0.01198479066</v>
      </c>
      <c r="N351" s="3" t="s">
        <v>53</v>
      </c>
    </row>
    <row r="352" ht="15.75" customHeight="1">
      <c r="A352" s="2" t="s">
        <v>52</v>
      </c>
      <c r="B352" s="3">
        <v>5.48874691E8</v>
      </c>
      <c r="C352" s="4">
        <v>49.967</v>
      </c>
      <c r="D352" s="4">
        <v>103.156</v>
      </c>
      <c r="E352" s="4">
        <v>53.076</v>
      </c>
      <c r="F352" s="5">
        <v>13.2</v>
      </c>
      <c r="G352" s="5">
        <v>5.9</v>
      </c>
      <c r="H352" s="4">
        <f t="shared" si="7"/>
        <v>6.393853969</v>
      </c>
      <c r="I352" s="4">
        <f t="shared" si="8"/>
        <v>5.554399352</v>
      </c>
      <c r="J352" s="4">
        <f t="shared" si="9"/>
        <v>5.97412666</v>
      </c>
      <c r="K352" s="4">
        <f t="shared" si="10"/>
        <v>1.943552641</v>
      </c>
      <c r="L352" s="4">
        <f t="shared" si="11"/>
        <v>2.237288136</v>
      </c>
      <c r="M352" s="4">
        <f t="shared" si="12"/>
        <v>-0.1312908648</v>
      </c>
      <c r="N352" s="3" t="s">
        <v>53</v>
      </c>
    </row>
    <row r="353" ht="15.75" customHeight="1">
      <c r="A353" s="6" t="s">
        <v>52</v>
      </c>
      <c r="B353" s="3">
        <v>4.68306301E8</v>
      </c>
      <c r="C353" s="4">
        <v>57.294</v>
      </c>
      <c r="D353" s="4">
        <v>97.778</v>
      </c>
      <c r="E353" s="4">
        <v>55.515</v>
      </c>
      <c r="F353" s="5">
        <v>13.2</v>
      </c>
      <c r="G353" s="5">
        <v>5.9</v>
      </c>
      <c r="H353" s="4">
        <f t="shared" si="7"/>
        <v>7.734672421</v>
      </c>
      <c r="I353" s="4">
        <f t="shared" si="8"/>
        <v>6.08906782</v>
      </c>
      <c r="J353" s="4">
        <f t="shared" si="9"/>
        <v>6.91187012</v>
      </c>
      <c r="K353" s="4">
        <f t="shared" si="10"/>
        <v>1.761289742</v>
      </c>
      <c r="L353" s="4">
        <f t="shared" si="11"/>
        <v>2.237288136</v>
      </c>
      <c r="M353" s="4">
        <f t="shared" si="12"/>
        <v>-0.212756858</v>
      </c>
      <c r="N353" s="3" t="s">
        <v>53</v>
      </c>
    </row>
    <row r="354" ht="15.75" customHeight="1">
      <c r="A354" s="3" t="s">
        <v>52</v>
      </c>
      <c r="B354" s="3">
        <v>6.14880702E8</v>
      </c>
      <c r="C354" s="4">
        <v>72.151</v>
      </c>
      <c r="D354" s="4">
        <v>152.754</v>
      </c>
      <c r="E354" s="4">
        <v>72.729</v>
      </c>
      <c r="F354" s="5">
        <v>13.2</v>
      </c>
      <c r="G354" s="5">
        <v>5.9</v>
      </c>
      <c r="H354" s="4">
        <f t="shared" si="7"/>
        <v>6.234816764</v>
      </c>
      <c r="I354" s="4">
        <f t="shared" si="8"/>
        <v>5.853110864</v>
      </c>
      <c r="J354" s="4">
        <f t="shared" si="9"/>
        <v>6.043963814</v>
      </c>
      <c r="K354" s="4">
        <f t="shared" si="10"/>
        <v>2.100317617</v>
      </c>
      <c r="L354" s="4">
        <f t="shared" si="11"/>
        <v>2.237288136</v>
      </c>
      <c r="M354" s="4">
        <f t="shared" si="12"/>
        <v>-0.06122167099</v>
      </c>
      <c r="N354" s="3" t="s">
        <v>53</v>
      </c>
    </row>
    <row r="355" ht="15.75" customHeight="1">
      <c r="A355" s="3" t="s">
        <v>52</v>
      </c>
      <c r="B355" s="3">
        <v>8.8247471E7</v>
      </c>
      <c r="C355" s="4">
        <v>73.226</v>
      </c>
      <c r="D355" s="4">
        <v>140.809</v>
      </c>
      <c r="E355" s="4">
        <v>66.614</v>
      </c>
      <c r="F355" s="5">
        <v>13.2</v>
      </c>
      <c r="G355" s="5">
        <v>5.9</v>
      </c>
      <c r="H355" s="4">
        <f t="shared" si="7"/>
        <v>6.864498718</v>
      </c>
      <c r="I355" s="4">
        <f t="shared" si="8"/>
        <v>6.485624643</v>
      </c>
      <c r="J355" s="4">
        <f t="shared" si="9"/>
        <v>6.675061681</v>
      </c>
      <c r="K355" s="4">
        <f t="shared" si="10"/>
        <v>2.113804906</v>
      </c>
      <c r="L355" s="4">
        <f t="shared" si="11"/>
        <v>2.237288136</v>
      </c>
      <c r="M355" s="4">
        <f t="shared" si="12"/>
        <v>-0.05519326177</v>
      </c>
      <c r="N355" s="3" t="s">
        <v>53</v>
      </c>
    </row>
    <row r="356" ht="15.75" customHeight="1">
      <c r="A356" s="2" t="s">
        <v>52</v>
      </c>
      <c r="B356" s="3">
        <v>6.29431841E8</v>
      </c>
      <c r="C356" s="4">
        <v>61.166</v>
      </c>
      <c r="D356" s="4">
        <v>127.475</v>
      </c>
      <c r="E356" s="4">
        <v>66.135</v>
      </c>
      <c r="F356" s="5">
        <v>13.2</v>
      </c>
      <c r="G356" s="5">
        <v>5.9</v>
      </c>
      <c r="H356" s="4">
        <f t="shared" si="7"/>
        <v>6.333721906</v>
      </c>
      <c r="I356" s="4">
        <f t="shared" si="8"/>
        <v>5.456708248</v>
      </c>
      <c r="J356" s="4">
        <f t="shared" si="9"/>
        <v>5.895215077</v>
      </c>
      <c r="K356" s="4">
        <f t="shared" si="10"/>
        <v>1.927496787</v>
      </c>
      <c r="L356" s="4">
        <f t="shared" si="11"/>
        <v>2.237288136</v>
      </c>
      <c r="M356" s="4">
        <f t="shared" si="12"/>
        <v>-0.1384673453</v>
      </c>
      <c r="N356" s="3" t="s">
        <v>53</v>
      </c>
    </row>
    <row r="357" ht="15.75" customHeight="1">
      <c r="A357" s="2" t="s">
        <v>52</v>
      </c>
      <c r="B357" s="3">
        <v>5.36333351E8</v>
      </c>
      <c r="C357" s="4">
        <v>62.837</v>
      </c>
      <c r="D357" s="4">
        <v>130.508</v>
      </c>
      <c r="E357" s="4">
        <v>66.002</v>
      </c>
      <c r="F357" s="5">
        <v>13.2</v>
      </c>
      <c r="G357" s="5">
        <v>5.9</v>
      </c>
      <c r="H357" s="4">
        <f t="shared" si="7"/>
        <v>6.355536825</v>
      </c>
      <c r="I357" s="4">
        <f t="shared" si="8"/>
        <v>5.617076755</v>
      </c>
      <c r="J357" s="4">
        <f t="shared" si="9"/>
        <v>5.98630679</v>
      </c>
      <c r="K357" s="4">
        <f t="shared" si="10"/>
        <v>1.97733402</v>
      </c>
      <c r="L357" s="4">
        <f t="shared" si="11"/>
        <v>2.237288136</v>
      </c>
      <c r="M357" s="4">
        <f t="shared" si="12"/>
        <v>-0.1161916122</v>
      </c>
      <c r="N357" s="3" t="s">
        <v>53</v>
      </c>
    </row>
    <row r="358" ht="15.75" customHeight="1">
      <c r="A358" s="3" t="s">
        <v>52</v>
      </c>
      <c r="B358" s="3">
        <v>9.7628771E7</v>
      </c>
      <c r="C358" s="4">
        <v>64.748</v>
      </c>
      <c r="D358" s="4">
        <v>134.78</v>
      </c>
      <c r="E358" s="4">
        <v>60.613</v>
      </c>
      <c r="F358" s="5">
        <v>13.2</v>
      </c>
      <c r="G358" s="5">
        <v>5.9</v>
      </c>
      <c r="H358" s="4">
        <f t="shared" si="7"/>
        <v>6.341249444</v>
      </c>
      <c r="I358" s="4">
        <f t="shared" si="8"/>
        <v>6.302496164</v>
      </c>
      <c r="J358" s="4">
        <f t="shared" si="9"/>
        <v>6.321872804</v>
      </c>
      <c r="K358" s="4">
        <f t="shared" si="10"/>
        <v>2.223615396</v>
      </c>
      <c r="L358" s="4">
        <f t="shared" si="11"/>
        <v>2.237288136</v>
      </c>
      <c r="M358" s="4">
        <f t="shared" si="12"/>
        <v>-0.006111300256</v>
      </c>
      <c r="N358" s="3" t="s">
        <v>53</v>
      </c>
    </row>
    <row r="359" ht="15.75" customHeight="1">
      <c r="A359" s="3" t="s">
        <v>52</v>
      </c>
      <c r="B359" s="3">
        <v>1.40942121E8</v>
      </c>
      <c r="C359" s="4">
        <v>53.271</v>
      </c>
      <c r="D359" s="4">
        <v>117.391</v>
      </c>
      <c r="E359" s="4">
        <v>54.837</v>
      </c>
      <c r="F359" s="5">
        <v>13.2</v>
      </c>
      <c r="G359" s="5">
        <v>5.9</v>
      </c>
      <c r="H359" s="4">
        <f t="shared" si="7"/>
        <v>5.99004353</v>
      </c>
      <c r="I359" s="4">
        <f t="shared" si="8"/>
        <v>5.731511571</v>
      </c>
      <c r="J359" s="4">
        <f t="shared" si="9"/>
        <v>5.86077755</v>
      </c>
      <c r="K359" s="4">
        <f t="shared" si="10"/>
        <v>2.140726152</v>
      </c>
      <c r="L359" s="4">
        <f t="shared" si="11"/>
        <v>2.237288136</v>
      </c>
      <c r="M359" s="4">
        <f t="shared" si="12"/>
        <v>-0.04316028052</v>
      </c>
      <c r="N359" s="3" t="s">
        <v>53</v>
      </c>
    </row>
    <row r="360" ht="15.75" customHeight="1">
      <c r="A360" s="2" t="s">
        <v>52</v>
      </c>
      <c r="B360" s="3">
        <v>4.46571271E8</v>
      </c>
      <c r="C360" s="4">
        <v>46.186</v>
      </c>
      <c r="D360" s="4">
        <v>90.509</v>
      </c>
      <c r="E360" s="4">
        <v>46.068</v>
      </c>
      <c r="F360" s="5">
        <v>13.2</v>
      </c>
      <c r="G360" s="5">
        <v>5.9</v>
      </c>
      <c r="H360" s="4">
        <f t="shared" si="7"/>
        <v>6.735851683</v>
      </c>
      <c r="I360" s="4">
        <f t="shared" si="8"/>
        <v>5.915112442</v>
      </c>
      <c r="J360" s="4">
        <f t="shared" si="9"/>
        <v>6.325482063</v>
      </c>
      <c r="K360" s="4">
        <f t="shared" si="10"/>
        <v>1.964682643</v>
      </c>
      <c r="L360" s="4">
        <f t="shared" si="11"/>
        <v>2.237288136</v>
      </c>
      <c r="M360" s="4">
        <f t="shared" si="12"/>
        <v>-0.1218463944</v>
      </c>
      <c r="N360" s="3" t="s">
        <v>53</v>
      </c>
    </row>
    <row r="361" ht="15.75" customHeight="1">
      <c r="A361" s="14" t="s">
        <v>52</v>
      </c>
      <c r="B361" s="15">
        <v>6.40460053E8</v>
      </c>
      <c r="C361" s="15">
        <v>57.243</v>
      </c>
      <c r="D361" s="15">
        <v>109.172</v>
      </c>
      <c r="E361" s="15">
        <v>54.676</v>
      </c>
      <c r="F361" s="16">
        <v>13.2</v>
      </c>
      <c r="G361" s="16">
        <v>5.9</v>
      </c>
      <c r="H361" s="15">
        <v>6.921258198</v>
      </c>
      <c r="I361" s="15">
        <v>6.177000878</v>
      </c>
      <c r="J361" s="15">
        <v>6.54912954</v>
      </c>
      <c r="K361" s="15">
        <v>1.996708</v>
      </c>
      <c r="L361" s="15">
        <v>2.23728814</v>
      </c>
      <c r="M361" s="15">
        <v>-0.107532084</v>
      </c>
      <c r="N361" s="14" t="s">
        <v>53</v>
      </c>
    </row>
    <row r="362" ht="15.75" customHeight="1">
      <c r="A362" s="14" t="s">
        <v>52</v>
      </c>
      <c r="B362" s="15">
        <v>5.79254501E8</v>
      </c>
      <c r="C362" s="15">
        <v>55.358</v>
      </c>
      <c r="D362" s="15">
        <v>114.154</v>
      </c>
      <c r="E362" s="15">
        <v>47.425</v>
      </c>
      <c r="F362" s="16">
        <v>13.2</v>
      </c>
      <c r="G362" s="16">
        <v>5.9</v>
      </c>
      <c r="H362" s="15">
        <v>6.401226413</v>
      </c>
      <c r="I362" s="15">
        <v>6.886920401</v>
      </c>
      <c r="J362" s="15">
        <v>6.64407341</v>
      </c>
      <c r="K362" s="15">
        <v>2.407043</v>
      </c>
      <c r="L362" s="15">
        <v>2.23728814</v>
      </c>
      <c r="M362" s="15">
        <v>0.075875146</v>
      </c>
      <c r="N362" s="14" t="s">
        <v>53</v>
      </c>
    </row>
    <row r="363" ht="15.75" customHeight="1">
      <c r="A363" s="14" t="s">
        <v>52</v>
      </c>
      <c r="B363" s="15">
        <v>4.18049491E8</v>
      </c>
      <c r="C363" s="15">
        <v>65.598</v>
      </c>
      <c r="D363" s="15">
        <v>136.53</v>
      </c>
      <c r="E363" s="15">
        <v>63.863</v>
      </c>
      <c r="F363" s="16">
        <v>13.2</v>
      </c>
      <c r="G363" s="16">
        <v>5.9</v>
      </c>
      <c r="H363" s="15">
        <v>6.342148978</v>
      </c>
      <c r="I363" s="15">
        <v>6.06028843</v>
      </c>
      <c r="J363" s="15">
        <v>6.2012187</v>
      </c>
      <c r="K363" s="15">
        <v>2.137858</v>
      </c>
      <c r="L363" s="15">
        <v>2.23728814</v>
      </c>
      <c r="M363" s="15">
        <v>-0.044442436</v>
      </c>
      <c r="N363" s="14" t="s">
        <v>53</v>
      </c>
    </row>
    <row r="364" ht="15.75" customHeight="1">
      <c r="A364" s="6" t="s">
        <v>54</v>
      </c>
      <c r="B364" s="3">
        <v>6.28907233E8</v>
      </c>
      <c r="C364" s="4">
        <v>35.857</v>
      </c>
      <c r="D364" s="4">
        <v>79.659</v>
      </c>
      <c r="E364" s="4">
        <v>30.254</v>
      </c>
      <c r="F364" s="5">
        <v>7.5</v>
      </c>
      <c r="G364" s="5">
        <v>3.4</v>
      </c>
      <c r="H364" s="4">
        <f t="shared" ref="H364:H514" si="13">(C364/D364)*F364</f>
        <v>3.375983881</v>
      </c>
      <c r="I364" s="4">
        <f t="shared" ref="I364:I514" si="14">(C364/E364)*G364</f>
        <v>4.029675415</v>
      </c>
      <c r="J364" s="4">
        <f t="shared" ref="J364:J514" si="15">AVERAGE(H364:I364)</f>
        <v>3.702829648</v>
      </c>
      <c r="K364" s="4">
        <f t="shared" ref="K364:K514" si="16">D364/E364</f>
        <v>2.633007206</v>
      </c>
      <c r="L364" s="4">
        <f t="shared" ref="L364:L514" si="17">F364/G364</f>
        <v>2.205882353</v>
      </c>
      <c r="M364" s="4">
        <f t="shared" ref="M364:M514" si="18">(K364-L364)/L364</f>
        <v>0.1936299332</v>
      </c>
      <c r="N364" s="3" t="s">
        <v>55</v>
      </c>
    </row>
    <row r="365" ht="15.75" customHeight="1">
      <c r="A365" s="7" t="s">
        <v>54</v>
      </c>
      <c r="B365" s="3">
        <v>3.76172131E8</v>
      </c>
      <c r="C365" s="4">
        <v>37.009</v>
      </c>
      <c r="D365" s="4">
        <v>72.271</v>
      </c>
      <c r="E365" s="4">
        <v>38.876</v>
      </c>
      <c r="F365" s="5">
        <v>7.5</v>
      </c>
      <c r="G365" s="5">
        <v>3.4</v>
      </c>
      <c r="H365" s="4">
        <f t="shared" si="13"/>
        <v>3.840648393</v>
      </c>
      <c r="I365" s="4">
        <f t="shared" si="14"/>
        <v>3.23671674</v>
      </c>
      <c r="J365" s="4">
        <f t="shared" si="15"/>
        <v>3.538682567</v>
      </c>
      <c r="K365" s="4">
        <f t="shared" si="16"/>
        <v>1.859013273</v>
      </c>
      <c r="L365" s="4">
        <f t="shared" si="17"/>
        <v>2.205882353</v>
      </c>
      <c r="M365" s="4">
        <f t="shared" si="18"/>
        <v>-0.1572473163</v>
      </c>
      <c r="N365" s="3" t="s">
        <v>55</v>
      </c>
    </row>
    <row r="366" ht="15.75" customHeight="1">
      <c r="A366" s="3" t="s">
        <v>54</v>
      </c>
      <c r="B366" s="3">
        <v>6.09817E8</v>
      </c>
      <c r="C366" s="4">
        <v>34.45</v>
      </c>
      <c r="D366" s="4">
        <v>74.381</v>
      </c>
      <c r="E366" s="4">
        <v>36.705</v>
      </c>
      <c r="F366" s="5">
        <v>7.5</v>
      </c>
      <c r="G366" s="5">
        <v>3.4</v>
      </c>
      <c r="H366" s="4">
        <f t="shared" si="13"/>
        <v>3.473669351</v>
      </c>
      <c r="I366" s="4">
        <f t="shared" si="14"/>
        <v>3.191118376</v>
      </c>
      <c r="J366" s="4">
        <f t="shared" si="15"/>
        <v>3.332393864</v>
      </c>
      <c r="K366" s="4">
        <f t="shared" si="16"/>
        <v>2.026454162</v>
      </c>
      <c r="L366" s="4">
        <f t="shared" si="17"/>
        <v>2.205882353</v>
      </c>
      <c r="M366" s="4">
        <f t="shared" si="18"/>
        <v>-0.08134078009</v>
      </c>
      <c r="N366" s="3" t="s">
        <v>55</v>
      </c>
    </row>
    <row r="367" ht="15.75" customHeight="1">
      <c r="A367" s="6" t="s">
        <v>54</v>
      </c>
      <c r="B367" s="3">
        <v>6.46594464E8</v>
      </c>
      <c r="C367" s="4">
        <v>30.156</v>
      </c>
      <c r="D367" s="4">
        <v>53.72</v>
      </c>
      <c r="E367" s="4">
        <v>28.746</v>
      </c>
      <c r="F367" s="5">
        <v>7.5</v>
      </c>
      <c r="G367" s="5">
        <v>3.4</v>
      </c>
      <c r="H367" s="4">
        <f t="shared" si="13"/>
        <v>4.210163812</v>
      </c>
      <c r="I367" s="4">
        <f t="shared" si="14"/>
        <v>3.566771029</v>
      </c>
      <c r="J367" s="4">
        <f t="shared" si="15"/>
        <v>3.888467421</v>
      </c>
      <c r="K367" s="4">
        <f t="shared" si="16"/>
        <v>1.868781744</v>
      </c>
      <c r="L367" s="4">
        <f t="shared" si="17"/>
        <v>2.205882353</v>
      </c>
      <c r="M367" s="4">
        <f t="shared" si="18"/>
        <v>-0.1528189429</v>
      </c>
      <c r="N367" s="3" t="s">
        <v>55</v>
      </c>
    </row>
    <row r="368" ht="15.75" customHeight="1">
      <c r="A368" s="3" t="s">
        <v>54</v>
      </c>
      <c r="B368" s="3">
        <v>6.23234191E8</v>
      </c>
      <c r="C368" s="4">
        <v>53.513</v>
      </c>
      <c r="D368" s="4">
        <v>93.603</v>
      </c>
      <c r="E368" s="4">
        <v>43.832</v>
      </c>
      <c r="F368" s="5">
        <v>7.5</v>
      </c>
      <c r="G368" s="5">
        <v>3.4</v>
      </c>
      <c r="H368" s="4">
        <f t="shared" si="13"/>
        <v>4.287763213</v>
      </c>
      <c r="I368" s="4">
        <f t="shared" si="14"/>
        <v>4.150944515</v>
      </c>
      <c r="J368" s="4">
        <f t="shared" si="15"/>
        <v>4.219353864</v>
      </c>
      <c r="K368" s="4">
        <f t="shared" si="16"/>
        <v>2.135494616</v>
      </c>
      <c r="L368" s="4">
        <f t="shared" si="17"/>
        <v>2.205882353</v>
      </c>
      <c r="M368" s="4">
        <f t="shared" si="18"/>
        <v>-0.0319091075</v>
      </c>
      <c r="N368" s="3" t="s">
        <v>55</v>
      </c>
    </row>
    <row r="369" ht="15.75" customHeight="1">
      <c r="A369" s="3" t="s">
        <v>54</v>
      </c>
      <c r="B369" s="3">
        <v>6.16848315E8</v>
      </c>
      <c r="C369" s="4">
        <v>39.876</v>
      </c>
      <c r="D369" s="4">
        <v>71.981</v>
      </c>
      <c r="E369" s="4">
        <v>30.452</v>
      </c>
      <c r="F369" s="5">
        <v>7.5</v>
      </c>
      <c r="G369" s="5">
        <v>3.4</v>
      </c>
      <c r="H369" s="4">
        <f t="shared" si="13"/>
        <v>4.154846418</v>
      </c>
      <c r="I369" s="4">
        <f t="shared" si="14"/>
        <v>4.452200184</v>
      </c>
      <c r="J369" s="4">
        <f t="shared" si="15"/>
        <v>4.303523301</v>
      </c>
      <c r="K369" s="4">
        <f t="shared" si="16"/>
        <v>2.363752791</v>
      </c>
      <c r="L369" s="4">
        <f t="shared" si="17"/>
        <v>2.205882353</v>
      </c>
      <c r="M369" s="4">
        <f t="shared" si="18"/>
        <v>0.07156793205</v>
      </c>
      <c r="N369" s="3" t="s">
        <v>55</v>
      </c>
    </row>
    <row r="370" ht="15.75" customHeight="1">
      <c r="A370" s="6" t="s">
        <v>54</v>
      </c>
      <c r="B370" s="3">
        <v>5.52009261E8</v>
      </c>
      <c r="C370" s="4">
        <v>37.829</v>
      </c>
      <c r="D370" s="4">
        <v>84.251</v>
      </c>
      <c r="E370" s="4">
        <v>33.004</v>
      </c>
      <c r="F370" s="5">
        <v>7.5</v>
      </c>
      <c r="G370" s="5">
        <v>3.4</v>
      </c>
      <c r="H370" s="4">
        <f t="shared" si="13"/>
        <v>3.367526795</v>
      </c>
      <c r="I370" s="4">
        <f t="shared" si="14"/>
        <v>3.897060962</v>
      </c>
      <c r="J370" s="4">
        <f t="shared" si="15"/>
        <v>3.632293879</v>
      </c>
      <c r="K370" s="4">
        <f t="shared" si="16"/>
        <v>2.552751182</v>
      </c>
      <c r="L370" s="4">
        <f t="shared" si="17"/>
        <v>2.205882353</v>
      </c>
      <c r="M370" s="4">
        <f t="shared" si="18"/>
        <v>0.1572472024</v>
      </c>
      <c r="N370" s="3" t="s">
        <v>55</v>
      </c>
    </row>
    <row r="371" ht="15.75" customHeight="1">
      <c r="A371" s="3" t="s">
        <v>54</v>
      </c>
      <c r="B371" s="3">
        <v>6.43687017E8</v>
      </c>
      <c r="C371" s="4">
        <v>43.516</v>
      </c>
      <c r="D371" s="4">
        <v>86.746</v>
      </c>
      <c r="E371" s="4">
        <v>40.162</v>
      </c>
      <c r="F371" s="5">
        <v>7.5</v>
      </c>
      <c r="G371" s="5">
        <v>3.4</v>
      </c>
      <c r="H371" s="4">
        <f t="shared" si="13"/>
        <v>3.762363682</v>
      </c>
      <c r="I371" s="4">
        <f t="shared" si="14"/>
        <v>3.683940043</v>
      </c>
      <c r="J371" s="4">
        <f t="shared" si="15"/>
        <v>3.723151863</v>
      </c>
      <c r="K371" s="4">
        <f t="shared" si="16"/>
        <v>2.159902395</v>
      </c>
      <c r="L371" s="4">
        <f t="shared" si="17"/>
        <v>2.205882353</v>
      </c>
      <c r="M371" s="4">
        <f t="shared" si="18"/>
        <v>-0.02084424746</v>
      </c>
      <c r="N371" s="3" t="s">
        <v>55</v>
      </c>
    </row>
    <row r="372" ht="15.75" customHeight="1">
      <c r="A372" s="3" t="s">
        <v>54</v>
      </c>
      <c r="B372" s="3">
        <v>6.32831168E8</v>
      </c>
      <c r="C372" s="4">
        <v>28.621</v>
      </c>
      <c r="D372" s="4">
        <v>64.281</v>
      </c>
      <c r="E372" s="4">
        <v>29.25</v>
      </c>
      <c r="F372" s="5">
        <v>7.5</v>
      </c>
      <c r="G372" s="5">
        <v>3.4</v>
      </c>
      <c r="H372" s="4">
        <f t="shared" si="13"/>
        <v>3.339361553</v>
      </c>
      <c r="I372" s="4">
        <f t="shared" si="14"/>
        <v>3.32688547</v>
      </c>
      <c r="J372" s="4">
        <f t="shared" si="15"/>
        <v>3.333123512</v>
      </c>
      <c r="K372" s="4">
        <f t="shared" si="16"/>
        <v>2.197641026</v>
      </c>
      <c r="L372" s="4">
        <f t="shared" si="17"/>
        <v>2.205882353</v>
      </c>
      <c r="M372" s="4">
        <f t="shared" si="18"/>
        <v>-0.003736068376</v>
      </c>
      <c r="N372" s="3" t="s">
        <v>55</v>
      </c>
    </row>
    <row r="373" ht="15.75" customHeight="1">
      <c r="A373" s="3" t="s">
        <v>54</v>
      </c>
      <c r="B373" s="3">
        <v>6.21202336E8</v>
      </c>
      <c r="C373" s="4">
        <v>36.225</v>
      </c>
      <c r="D373" s="4">
        <v>70.004</v>
      </c>
      <c r="E373" s="4">
        <v>30.358</v>
      </c>
      <c r="F373" s="5">
        <v>7.5</v>
      </c>
      <c r="G373" s="5">
        <v>3.4</v>
      </c>
      <c r="H373" s="4">
        <f t="shared" si="13"/>
        <v>3.881028227</v>
      </c>
      <c r="I373" s="4">
        <f t="shared" si="14"/>
        <v>4.057085447</v>
      </c>
      <c r="J373" s="4">
        <f t="shared" si="15"/>
        <v>3.969056837</v>
      </c>
      <c r="K373" s="4">
        <f t="shared" si="16"/>
        <v>2.305949008</v>
      </c>
      <c r="L373" s="4">
        <f t="shared" si="17"/>
        <v>2.205882353</v>
      </c>
      <c r="M373" s="4">
        <f t="shared" si="18"/>
        <v>0.04536355052</v>
      </c>
      <c r="N373" s="3" t="s">
        <v>55</v>
      </c>
    </row>
    <row r="374" ht="15.75" customHeight="1">
      <c r="A374" s="3" t="s">
        <v>54</v>
      </c>
      <c r="B374" s="3">
        <v>1.47868621E8</v>
      </c>
      <c r="C374" s="4">
        <v>30.775</v>
      </c>
      <c r="D374" s="4">
        <v>57.305</v>
      </c>
      <c r="E374" s="4">
        <v>24.751</v>
      </c>
      <c r="F374" s="5">
        <v>7.5</v>
      </c>
      <c r="G374" s="5">
        <v>3.4</v>
      </c>
      <c r="H374" s="4">
        <f t="shared" si="13"/>
        <v>4.027789896</v>
      </c>
      <c r="I374" s="4">
        <f t="shared" si="14"/>
        <v>4.227505959</v>
      </c>
      <c r="J374" s="4">
        <f t="shared" si="15"/>
        <v>4.127647928</v>
      </c>
      <c r="K374" s="4">
        <f t="shared" si="16"/>
        <v>2.315259989</v>
      </c>
      <c r="L374" s="4">
        <f t="shared" si="17"/>
        <v>2.205882353</v>
      </c>
      <c r="M374" s="4">
        <f t="shared" si="18"/>
        <v>0.04958452857</v>
      </c>
      <c r="N374" s="3" t="s">
        <v>55</v>
      </c>
    </row>
    <row r="375" ht="15.75" customHeight="1">
      <c r="A375" s="3" t="s">
        <v>54</v>
      </c>
      <c r="B375" s="3">
        <v>6.33112589E8</v>
      </c>
      <c r="C375" s="4">
        <v>40.389</v>
      </c>
      <c r="D375" s="4">
        <v>88.459</v>
      </c>
      <c r="E375" s="4">
        <v>40.534</v>
      </c>
      <c r="F375" s="5">
        <v>7.5</v>
      </c>
      <c r="G375" s="5">
        <v>3.4</v>
      </c>
      <c r="H375" s="4">
        <f t="shared" si="13"/>
        <v>3.424383048</v>
      </c>
      <c r="I375" s="4">
        <f t="shared" si="14"/>
        <v>3.387837371</v>
      </c>
      <c r="J375" s="4">
        <f t="shared" si="15"/>
        <v>3.406110209</v>
      </c>
      <c r="K375" s="4">
        <f t="shared" si="16"/>
        <v>2.182340751</v>
      </c>
      <c r="L375" s="4">
        <f t="shared" si="17"/>
        <v>2.205882353</v>
      </c>
      <c r="M375" s="4">
        <f t="shared" si="18"/>
        <v>-0.01067219289</v>
      </c>
      <c r="N375" s="3" t="s">
        <v>55</v>
      </c>
    </row>
    <row r="376" ht="15.75" customHeight="1">
      <c r="A376" s="18" t="s">
        <v>54</v>
      </c>
      <c r="B376" s="18">
        <v>5.28270841E8</v>
      </c>
      <c r="C376" s="4">
        <v>30.441</v>
      </c>
      <c r="D376" s="4">
        <v>65.735</v>
      </c>
      <c r="E376" s="4">
        <v>27.0</v>
      </c>
      <c r="F376" s="5">
        <v>7.5</v>
      </c>
      <c r="G376" s="5">
        <v>3.4</v>
      </c>
      <c r="H376" s="4">
        <f t="shared" si="13"/>
        <v>3.473149768</v>
      </c>
      <c r="I376" s="4">
        <f t="shared" si="14"/>
        <v>3.833311111</v>
      </c>
      <c r="J376" s="4">
        <f t="shared" si="15"/>
        <v>3.65323044</v>
      </c>
      <c r="K376" s="4">
        <f t="shared" si="16"/>
        <v>2.43462963</v>
      </c>
      <c r="L376" s="4">
        <f t="shared" si="17"/>
        <v>2.205882353</v>
      </c>
      <c r="M376" s="4">
        <f t="shared" si="18"/>
        <v>0.1036987654</v>
      </c>
      <c r="N376" s="3" t="s">
        <v>55</v>
      </c>
    </row>
    <row r="377" ht="15.75" customHeight="1">
      <c r="A377" s="3" t="s">
        <v>54</v>
      </c>
      <c r="B377" s="3">
        <v>6.0963309E8</v>
      </c>
      <c r="C377" s="4">
        <v>36.303</v>
      </c>
      <c r="D377" s="4">
        <v>68.988</v>
      </c>
      <c r="E377" s="4">
        <v>29.633</v>
      </c>
      <c r="F377" s="5">
        <v>7.5</v>
      </c>
      <c r="G377" s="5">
        <v>3.4</v>
      </c>
      <c r="H377" s="4">
        <f t="shared" si="13"/>
        <v>3.946664637</v>
      </c>
      <c r="I377" s="4">
        <f t="shared" si="14"/>
        <v>4.165295448</v>
      </c>
      <c r="J377" s="4">
        <f t="shared" si="15"/>
        <v>4.055980042</v>
      </c>
      <c r="K377" s="4">
        <f t="shared" si="16"/>
        <v>2.328080181</v>
      </c>
      <c r="L377" s="4">
        <f t="shared" si="17"/>
        <v>2.205882353</v>
      </c>
      <c r="M377" s="4">
        <f t="shared" si="18"/>
        <v>0.05539634867</v>
      </c>
      <c r="N377" s="3" t="s">
        <v>55</v>
      </c>
    </row>
    <row r="378" ht="15.75" customHeight="1">
      <c r="A378" s="3" t="s">
        <v>56</v>
      </c>
      <c r="B378" s="3">
        <v>4.07160551E8</v>
      </c>
      <c r="C378" s="4">
        <v>35.795</v>
      </c>
      <c r="D378" s="4">
        <v>88.887</v>
      </c>
      <c r="E378" s="4">
        <v>56.223</v>
      </c>
      <c r="F378" s="5">
        <v>12.1</v>
      </c>
      <c r="G378" s="5">
        <v>7.1</v>
      </c>
      <c r="H378" s="4">
        <f t="shared" si="13"/>
        <v>4.87269792</v>
      </c>
      <c r="I378" s="4">
        <f t="shared" si="14"/>
        <v>4.520294186</v>
      </c>
      <c r="J378" s="4">
        <f t="shared" si="15"/>
        <v>4.696496053</v>
      </c>
      <c r="K378" s="4">
        <f t="shared" si="16"/>
        <v>1.5809722</v>
      </c>
      <c r="L378" s="4">
        <f t="shared" si="17"/>
        <v>1.704225352</v>
      </c>
      <c r="M378" s="4">
        <f t="shared" si="18"/>
        <v>-0.07232209753</v>
      </c>
      <c r="N378" s="3" t="s">
        <v>57</v>
      </c>
    </row>
    <row r="379" ht="15.75" customHeight="1">
      <c r="A379" s="7" t="s">
        <v>56</v>
      </c>
      <c r="B379" s="3">
        <v>6.28524541E8</v>
      </c>
      <c r="C379" s="4">
        <v>38.819</v>
      </c>
      <c r="D379" s="4">
        <v>83.598</v>
      </c>
      <c r="E379" s="4">
        <v>58.078</v>
      </c>
      <c r="F379" s="5">
        <v>12.1</v>
      </c>
      <c r="G379" s="5">
        <v>7.1</v>
      </c>
      <c r="H379" s="4">
        <f t="shared" si="13"/>
        <v>5.618673892</v>
      </c>
      <c r="I379" s="4">
        <f t="shared" si="14"/>
        <v>4.745599022</v>
      </c>
      <c r="J379" s="4">
        <f t="shared" si="15"/>
        <v>5.182136457</v>
      </c>
      <c r="K379" s="4">
        <f t="shared" si="16"/>
        <v>1.439409071</v>
      </c>
      <c r="L379" s="4">
        <f t="shared" si="17"/>
        <v>1.704225352</v>
      </c>
      <c r="M379" s="4">
        <f t="shared" si="18"/>
        <v>-0.155388066</v>
      </c>
      <c r="N379" s="3" t="s">
        <v>57</v>
      </c>
    </row>
    <row r="380" ht="15.75" customHeight="1">
      <c r="A380" s="19" t="s">
        <v>56</v>
      </c>
      <c r="B380" s="20">
        <v>2.68960961E8</v>
      </c>
      <c r="C380" s="9">
        <v>48.541</v>
      </c>
      <c r="D380" s="9">
        <v>135.008</v>
      </c>
      <c r="E380" s="9">
        <v>76.236</v>
      </c>
      <c r="F380" s="5">
        <v>12.1</v>
      </c>
      <c r="G380" s="5">
        <v>7.1</v>
      </c>
      <c r="H380" s="4">
        <f t="shared" si="13"/>
        <v>4.350454047</v>
      </c>
      <c r="I380" s="4">
        <f t="shared" si="14"/>
        <v>4.520713311</v>
      </c>
      <c r="J380" s="4">
        <f t="shared" si="15"/>
        <v>4.435583679</v>
      </c>
      <c r="K380" s="4">
        <f t="shared" si="16"/>
        <v>1.770921874</v>
      </c>
      <c r="L380" s="4">
        <f t="shared" si="17"/>
        <v>1.704225352</v>
      </c>
      <c r="M380" s="4">
        <f t="shared" si="18"/>
        <v>0.03913597576</v>
      </c>
      <c r="N380" s="3" t="s">
        <v>57</v>
      </c>
    </row>
    <row r="381" ht="15.75" customHeight="1">
      <c r="A381" s="6" t="s">
        <v>56</v>
      </c>
      <c r="B381" s="3">
        <v>3.51874601E8</v>
      </c>
      <c r="C381" s="4">
        <v>26.998</v>
      </c>
      <c r="D381" s="4">
        <v>59.939</v>
      </c>
      <c r="E381" s="4">
        <v>45.306</v>
      </c>
      <c r="F381" s="5">
        <v>12.1</v>
      </c>
      <c r="G381" s="5">
        <v>7.1</v>
      </c>
      <c r="H381" s="4">
        <f t="shared" si="13"/>
        <v>5.45013764</v>
      </c>
      <c r="I381" s="4">
        <f t="shared" si="14"/>
        <v>4.230914228</v>
      </c>
      <c r="J381" s="4">
        <f t="shared" si="15"/>
        <v>4.840525934</v>
      </c>
      <c r="K381" s="4">
        <f t="shared" si="16"/>
        <v>1.322981504</v>
      </c>
      <c r="L381" s="4">
        <f t="shared" si="17"/>
        <v>1.704225352</v>
      </c>
      <c r="M381" s="4">
        <f t="shared" si="18"/>
        <v>-0.2237050682</v>
      </c>
      <c r="N381" s="3" t="s">
        <v>57</v>
      </c>
    </row>
    <row r="382" ht="15.75" customHeight="1">
      <c r="A382" s="12" t="s">
        <v>56</v>
      </c>
      <c r="B382" s="3">
        <v>6.29431798E8</v>
      </c>
      <c r="C382" s="4">
        <v>34.42</v>
      </c>
      <c r="D382" s="4">
        <v>70.123</v>
      </c>
      <c r="E382" s="4">
        <v>46.256</v>
      </c>
      <c r="F382" s="5">
        <v>12.1</v>
      </c>
      <c r="G382" s="5">
        <v>7.1</v>
      </c>
      <c r="H382" s="4">
        <f t="shared" si="13"/>
        <v>5.939306647</v>
      </c>
      <c r="I382" s="4">
        <f t="shared" si="14"/>
        <v>5.283249741</v>
      </c>
      <c r="J382" s="4">
        <f t="shared" si="15"/>
        <v>5.611278194</v>
      </c>
      <c r="K382" s="4">
        <f t="shared" si="16"/>
        <v>1.515976306</v>
      </c>
      <c r="L382" s="4">
        <f t="shared" si="17"/>
        <v>1.704225352</v>
      </c>
      <c r="M382" s="4">
        <f t="shared" si="18"/>
        <v>-0.1104601842</v>
      </c>
      <c r="N382" s="3" t="s">
        <v>57</v>
      </c>
    </row>
    <row r="383" ht="15.75" customHeight="1">
      <c r="A383" s="12" t="s">
        <v>56</v>
      </c>
      <c r="B383" s="3">
        <v>8.9821391E7</v>
      </c>
      <c r="C383" s="4">
        <v>37.371</v>
      </c>
      <c r="D383" s="4">
        <v>82.89</v>
      </c>
      <c r="E383" s="4">
        <v>56.755</v>
      </c>
      <c r="F383" s="5">
        <v>12.1</v>
      </c>
      <c r="G383" s="5">
        <v>7.1</v>
      </c>
      <c r="H383" s="4">
        <f t="shared" si="13"/>
        <v>5.45529135</v>
      </c>
      <c r="I383" s="4">
        <f t="shared" si="14"/>
        <v>4.675078848</v>
      </c>
      <c r="J383" s="4">
        <f t="shared" si="15"/>
        <v>5.065185099</v>
      </c>
      <c r="K383" s="4">
        <f t="shared" si="16"/>
        <v>1.460488063</v>
      </c>
      <c r="L383" s="4">
        <f t="shared" si="17"/>
        <v>1.704225352</v>
      </c>
      <c r="M383" s="4">
        <f t="shared" si="18"/>
        <v>-0.1430194012</v>
      </c>
      <c r="N383" s="3" t="s">
        <v>57</v>
      </c>
    </row>
    <row r="384" ht="15.75" customHeight="1">
      <c r="A384" s="3" t="s">
        <v>56</v>
      </c>
      <c r="B384" s="3">
        <v>2.64791421E8</v>
      </c>
      <c r="C384" s="4">
        <v>25.769</v>
      </c>
      <c r="D384" s="4">
        <v>66.13</v>
      </c>
      <c r="E384" s="4">
        <v>41.584</v>
      </c>
      <c r="F384" s="5">
        <v>12.1</v>
      </c>
      <c r="G384" s="5">
        <v>7.1</v>
      </c>
      <c r="H384" s="4">
        <f t="shared" si="13"/>
        <v>4.715029487</v>
      </c>
      <c r="I384" s="4">
        <f t="shared" si="14"/>
        <v>4.399766737</v>
      </c>
      <c r="J384" s="4">
        <f t="shared" si="15"/>
        <v>4.557398112</v>
      </c>
      <c r="K384" s="4">
        <f t="shared" si="16"/>
        <v>1.590275106</v>
      </c>
      <c r="L384" s="4">
        <f t="shared" si="17"/>
        <v>1.704225352</v>
      </c>
      <c r="M384" s="4">
        <f t="shared" si="18"/>
        <v>-0.06686336767</v>
      </c>
      <c r="N384" s="3" t="s">
        <v>57</v>
      </c>
    </row>
    <row r="385" ht="15.75" customHeight="1">
      <c r="A385" s="19" t="s">
        <v>56</v>
      </c>
      <c r="B385" s="20">
        <v>2.68960961E8</v>
      </c>
      <c r="C385" s="9">
        <v>51.624</v>
      </c>
      <c r="D385" s="9">
        <v>126.127</v>
      </c>
      <c r="E385" s="9">
        <v>76.968</v>
      </c>
      <c r="F385" s="5">
        <v>12.1</v>
      </c>
      <c r="G385" s="5">
        <v>7.1</v>
      </c>
      <c r="H385" s="4">
        <f t="shared" si="13"/>
        <v>4.952551</v>
      </c>
      <c r="I385" s="4">
        <f t="shared" si="14"/>
        <v>4.762114125</v>
      </c>
      <c r="J385" s="4">
        <f t="shared" si="15"/>
        <v>4.857332563</v>
      </c>
      <c r="K385" s="4">
        <f t="shared" si="16"/>
        <v>1.638694003</v>
      </c>
      <c r="L385" s="4">
        <f t="shared" si="17"/>
        <v>1.704225352</v>
      </c>
      <c r="M385" s="4">
        <f t="shared" si="18"/>
        <v>-0.03845227941</v>
      </c>
      <c r="N385" s="3" t="s">
        <v>57</v>
      </c>
    </row>
    <row r="386" ht="15.75" customHeight="1">
      <c r="A386" s="6" t="s">
        <v>56</v>
      </c>
      <c r="B386" s="3">
        <v>6.6194251E7</v>
      </c>
      <c r="C386" s="4">
        <v>27.705</v>
      </c>
      <c r="D386" s="4">
        <v>62.528</v>
      </c>
      <c r="E386" s="4">
        <v>44.76</v>
      </c>
      <c r="F386" s="5">
        <v>12.1</v>
      </c>
      <c r="G386" s="5">
        <v>7.1</v>
      </c>
      <c r="H386" s="4">
        <f t="shared" si="13"/>
        <v>5.361286144</v>
      </c>
      <c r="I386" s="4">
        <f t="shared" si="14"/>
        <v>4.394671582</v>
      </c>
      <c r="J386" s="4">
        <f t="shared" si="15"/>
        <v>4.877978863</v>
      </c>
      <c r="K386" s="4">
        <f t="shared" si="16"/>
        <v>1.396961573</v>
      </c>
      <c r="L386" s="4">
        <f t="shared" si="17"/>
        <v>1.704225352</v>
      </c>
      <c r="M386" s="4">
        <f t="shared" si="18"/>
        <v>-0.1802952754</v>
      </c>
      <c r="N386" s="3" t="s">
        <v>57</v>
      </c>
    </row>
    <row r="387" ht="15.75" customHeight="1">
      <c r="A387" s="6" t="s">
        <v>56</v>
      </c>
      <c r="B387" s="3">
        <v>3.37999901E8</v>
      </c>
      <c r="C387" s="4">
        <v>30.506</v>
      </c>
      <c r="D387" s="4">
        <v>66.982</v>
      </c>
      <c r="E387" s="4">
        <v>46.358</v>
      </c>
      <c r="F387" s="5">
        <v>12.1</v>
      </c>
      <c r="G387" s="5">
        <v>7.1</v>
      </c>
      <c r="H387" s="4">
        <f t="shared" si="13"/>
        <v>5.510773044</v>
      </c>
      <c r="I387" s="4">
        <f t="shared" si="14"/>
        <v>4.672173088</v>
      </c>
      <c r="J387" s="4">
        <f t="shared" si="15"/>
        <v>5.091473066</v>
      </c>
      <c r="K387" s="4">
        <f t="shared" si="16"/>
        <v>1.444885457</v>
      </c>
      <c r="L387" s="4">
        <f t="shared" si="17"/>
        <v>1.704225352</v>
      </c>
      <c r="M387" s="4">
        <f t="shared" si="18"/>
        <v>-0.1521746494</v>
      </c>
      <c r="N387" s="3" t="s">
        <v>57</v>
      </c>
    </row>
    <row r="388" ht="15.75" customHeight="1">
      <c r="A388" s="6" t="s">
        <v>56</v>
      </c>
      <c r="B388" s="3">
        <v>3.45954681E8</v>
      </c>
      <c r="C388" s="4">
        <v>37.802</v>
      </c>
      <c r="D388" s="4">
        <v>74.556</v>
      </c>
      <c r="E388" s="4">
        <v>51.784</v>
      </c>
      <c r="F388" s="5">
        <v>12.1</v>
      </c>
      <c r="G388" s="5">
        <v>7.1</v>
      </c>
      <c r="H388" s="4">
        <f t="shared" si="13"/>
        <v>6.135042116</v>
      </c>
      <c r="I388" s="4">
        <f t="shared" si="14"/>
        <v>5.182956125</v>
      </c>
      <c r="J388" s="4">
        <f t="shared" si="15"/>
        <v>5.658999121</v>
      </c>
      <c r="K388" s="4">
        <f t="shared" si="16"/>
        <v>1.43974973</v>
      </c>
      <c r="L388" s="4">
        <f t="shared" si="17"/>
        <v>1.704225352</v>
      </c>
      <c r="M388" s="4">
        <f t="shared" si="18"/>
        <v>-0.1551881752</v>
      </c>
      <c r="N388" s="3" t="s">
        <v>57</v>
      </c>
    </row>
    <row r="389" ht="15.75" customHeight="1">
      <c r="A389" s="3" t="s">
        <v>56</v>
      </c>
      <c r="B389" s="3">
        <v>5.0776031E7</v>
      </c>
      <c r="C389" s="4">
        <v>35.033</v>
      </c>
      <c r="D389" s="4">
        <v>80.632</v>
      </c>
      <c r="E389" s="4">
        <v>51.009</v>
      </c>
      <c r="F389" s="5">
        <v>12.1</v>
      </c>
      <c r="G389" s="5">
        <v>7.1</v>
      </c>
      <c r="H389" s="4">
        <f t="shared" si="13"/>
        <v>5.257209297</v>
      </c>
      <c r="I389" s="4">
        <f t="shared" si="14"/>
        <v>4.876282617</v>
      </c>
      <c r="J389" s="4">
        <f t="shared" si="15"/>
        <v>5.066745957</v>
      </c>
      <c r="K389" s="4">
        <f t="shared" si="16"/>
        <v>1.580740654</v>
      </c>
      <c r="L389" s="4">
        <f t="shared" si="17"/>
        <v>1.704225352</v>
      </c>
      <c r="M389" s="4">
        <f t="shared" si="18"/>
        <v>-0.07245796358</v>
      </c>
      <c r="N389" s="3" t="s">
        <v>57</v>
      </c>
    </row>
    <row r="390" ht="15.75" customHeight="1">
      <c r="A390" s="3" t="s">
        <v>56</v>
      </c>
      <c r="B390" s="3">
        <v>6.44033745E8</v>
      </c>
      <c r="C390" s="4">
        <v>32.368</v>
      </c>
      <c r="D390" s="4">
        <v>74.085</v>
      </c>
      <c r="E390" s="4">
        <v>47.58</v>
      </c>
      <c r="F390" s="5">
        <v>12.1</v>
      </c>
      <c r="G390" s="5">
        <v>7.1</v>
      </c>
      <c r="H390" s="4">
        <f t="shared" si="13"/>
        <v>5.286533036</v>
      </c>
      <c r="I390" s="4">
        <f t="shared" si="14"/>
        <v>4.830029424</v>
      </c>
      <c r="J390" s="4">
        <f t="shared" si="15"/>
        <v>5.05828123</v>
      </c>
      <c r="K390" s="4">
        <f t="shared" si="16"/>
        <v>1.557061791</v>
      </c>
      <c r="L390" s="4">
        <f t="shared" si="17"/>
        <v>1.704225352</v>
      </c>
      <c r="M390" s="4">
        <f t="shared" si="18"/>
        <v>-0.08635217242</v>
      </c>
      <c r="N390" s="3" t="s">
        <v>57</v>
      </c>
    </row>
    <row r="391" ht="15.75" customHeight="1">
      <c r="A391" s="3" t="s">
        <v>56</v>
      </c>
      <c r="B391" s="3">
        <v>3.67675571E8</v>
      </c>
      <c r="C391" s="4">
        <v>28.103</v>
      </c>
      <c r="D391" s="4">
        <v>65.242</v>
      </c>
      <c r="E391" s="4">
        <v>40.921</v>
      </c>
      <c r="F391" s="5">
        <v>12.1</v>
      </c>
      <c r="G391" s="5">
        <v>7.1</v>
      </c>
      <c r="H391" s="4">
        <f t="shared" si="13"/>
        <v>5.212076576</v>
      </c>
      <c r="I391" s="4">
        <f t="shared" si="14"/>
        <v>4.876012316</v>
      </c>
      <c r="J391" s="4">
        <f t="shared" si="15"/>
        <v>5.044044446</v>
      </c>
      <c r="K391" s="4">
        <f t="shared" si="16"/>
        <v>1.594340314</v>
      </c>
      <c r="L391" s="4">
        <f t="shared" si="17"/>
        <v>1.704225352</v>
      </c>
      <c r="M391" s="4">
        <f t="shared" si="18"/>
        <v>-0.06447799742</v>
      </c>
      <c r="N391" s="3" t="s">
        <v>57</v>
      </c>
    </row>
    <row r="392" ht="15.75" customHeight="1">
      <c r="A392" s="7" t="s">
        <v>56</v>
      </c>
      <c r="B392" s="3">
        <v>5.87767101E8</v>
      </c>
      <c r="C392" s="4">
        <v>33.534</v>
      </c>
      <c r="D392" s="4">
        <v>80.025</v>
      </c>
      <c r="E392" s="4">
        <v>59.603</v>
      </c>
      <c r="F392" s="5">
        <v>12.1</v>
      </c>
      <c r="G392" s="5">
        <v>7.1</v>
      </c>
      <c r="H392" s="4">
        <f t="shared" si="13"/>
        <v>5.07043299</v>
      </c>
      <c r="I392" s="4">
        <f t="shared" si="14"/>
        <v>3.994621076</v>
      </c>
      <c r="J392" s="4">
        <f t="shared" si="15"/>
        <v>4.532527033</v>
      </c>
      <c r="K392" s="4">
        <f t="shared" si="16"/>
        <v>1.34263376</v>
      </c>
      <c r="L392" s="4">
        <f t="shared" si="17"/>
        <v>1.704225352</v>
      </c>
      <c r="M392" s="4">
        <f t="shared" si="18"/>
        <v>-0.2121735788</v>
      </c>
      <c r="N392" s="3" t="s">
        <v>57</v>
      </c>
    </row>
    <row r="393" ht="15.75" customHeight="1">
      <c r="A393" s="3" t="s">
        <v>56</v>
      </c>
      <c r="B393" s="8">
        <v>3.79206511E8</v>
      </c>
      <c r="C393" s="9">
        <v>34.132</v>
      </c>
      <c r="D393" s="9">
        <v>89.147</v>
      </c>
      <c r="E393" s="9">
        <v>52.462</v>
      </c>
      <c r="F393" s="5">
        <v>12.1</v>
      </c>
      <c r="G393" s="5">
        <v>7.1</v>
      </c>
      <c r="H393" s="4">
        <f t="shared" si="13"/>
        <v>4.632766105</v>
      </c>
      <c r="I393" s="4">
        <f t="shared" si="14"/>
        <v>4.619290153</v>
      </c>
      <c r="J393" s="4">
        <f t="shared" si="15"/>
        <v>4.626028129</v>
      </c>
      <c r="K393" s="4">
        <f t="shared" si="16"/>
        <v>1.699268042</v>
      </c>
      <c r="L393" s="4">
        <f t="shared" si="17"/>
        <v>1.704225352</v>
      </c>
      <c r="M393" s="4">
        <f t="shared" si="18"/>
        <v>-0.002908835077</v>
      </c>
      <c r="N393" s="3" t="s">
        <v>57</v>
      </c>
    </row>
    <row r="394" ht="15.75" customHeight="1">
      <c r="A394" s="3" t="s">
        <v>56</v>
      </c>
      <c r="B394" s="8">
        <v>5.0776031E7</v>
      </c>
      <c r="C394" s="9">
        <v>76.158</v>
      </c>
      <c r="D394" s="9">
        <v>188.481</v>
      </c>
      <c r="E394" s="9">
        <v>121.198</v>
      </c>
      <c r="F394" s="5">
        <v>12.1</v>
      </c>
      <c r="G394" s="5">
        <v>7.1</v>
      </c>
      <c r="H394" s="4">
        <f t="shared" si="13"/>
        <v>4.889149569</v>
      </c>
      <c r="I394" s="4">
        <f t="shared" si="14"/>
        <v>4.461474612</v>
      </c>
      <c r="J394" s="4">
        <f t="shared" si="15"/>
        <v>4.675312091</v>
      </c>
      <c r="K394" s="4">
        <f t="shared" si="16"/>
        <v>1.555149425</v>
      </c>
      <c r="L394" s="4">
        <f t="shared" si="17"/>
        <v>1.704225352</v>
      </c>
      <c r="M394" s="4">
        <f t="shared" si="18"/>
        <v>-0.08747430439</v>
      </c>
      <c r="N394" s="3" t="s">
        <v>57</v>
      </c>
    </row>
    <row r="395" ht="15.75" customHeight="1">
      <c r="A395" s="12" t="s">
        <v>56</v>
      </c>
      <c r="B395" s="10">
        <v>2.57579971E8</v>
      </c>
      <c r="C395" s="9">
        <v>64.632</v>
      </c>
      <c r="D395" s="9">
        <v>139.514</v>
      </c>
      <c r="E395" s="9">
        <v>95.082</v>
      </c>
      <c r="F395" s="5">
        <v>12.1</v>
      </c>
      <c r="G395" s="5">
        <v>7.1</v>
      </c>
      <c r="H395" s="4">
        <f t="shared" si="13"/>
        <v>5.605510558</v>
      </c>
      <c r="I395" s="4">
        <f t="shared" si="14"/>
        <v>4.826225784</v>
      </c>
      <c r="J395" s="4">
        <f t="shared" si="15"/>
        <v>5.215868171</v>
      </c>
      <c r="K395" s="4">
        <f t="shared" si="16"/>
        <v>1.467301908</v>
      </c>
      <c r="L395" s="4">
        <f t="shared" si="17"/>
        <v>1.704225352</v>
      </c>
      <c r="M395" s="4">
        <f t="shared" si="18"/>
        <v>-0.1390211946</v>
      </c>
      <c r="N395" s="3" t="s">
        <v>57</v>
      </c>
    </row>
    <row r="396" ht="15.75" customHeight="1">
      <c r="A396" s="3" t="s">
        <v>56</v>
      </c>
      <c r="B396" s="8">
        <v>6.29493196E8</v>
      </c>
      <c r="C396" s="9">
        <v>37.947</v>
      </c>
      <c r="D396" s="9">
        <v>89.008</v>
      </c>
      <c r="E396" s="9">
        <v>54.009</v>
      </c>
      <c r="F396" s="5">
        <v>12.1</v>
      </c>
      <c r="G396" s="5">
        <v>7.1</v>
      </c>
      <c r="H396" s="4">
        <f t="shared" si="13"/>
        <v>5.15862282</v>
      </c>
      <c r="I396" s="4">
        <f t="shared" si="14"/>
        <v>4.988496362</v>
      </c>
      <c r="J396" s="4">
        <f t="shared" si="15"/>
        <v>5.073559591</v>
      </c>
      <c r="K396" s="4">
        <f t="shared" si="16"/>
        <v>1.648021626</v>
      </c>
      <c r="L396" s="4">
        <f t="shared" si="17"/>
        <v>1.704225352</v>
      </c>
      <c r="M396" s="4">
        <f t="shared" si="18"/>
        <v>-0.03297904589</v>
      </c>
      <c r="N396" s="3" t="s">
        <v>57</v>
      </c>
    </row>
    <row r="397" ht="15.75" customHeight="1">
      <c r="A397" s="3" t="s">
        <v>58</v>
      </c>
      <c r="B397" s="3">
        <v>5.1312061E7</v>
      </c>
      <c r="C397" s="4">
        <v>34.556</v>
      </c>
      <c r="D397" s="4">
        <v>104.312</v>
      </c>
      <c r="E397" s="4">
        <v>43.581</v>
      </c>
      <c r="F397" s="5">
        <v>19.4</v>
      </c>
      <c r="G397" s="5">
        <v>7.9</v>
      </c>
      <c r="H397" s="4">
        <f t="shared" si="13"/>
        <v>6.426742848</v>
      </c>
      <c r="I397" s="4">
        <f t="shared" si="14"/>
        <v>6.264023313</v>
      </c>
      <c r="J397" s="4">
        <f t="shared" si="15"/>
        <v>6.345383081</v>
      </c>
      <c r="K397" s="4">
        <f t="shared" si="16"/>
        <v>2.393520112</v>
      </c>
      <c r="L397" s="4">
        <f t="shared" si="17"/>
        <v>2.455696203</v>
      </c>
      <c r="M397" s="4">
        <f t="shared" si="18"/>
        <v>-0.02531912966</v>
      </c>
      <c r="N397" s="3" t="s">
        <v>59</v>
      </c>
    </row>
    <row r="398" ht="15.75" customHeight="1">
      <c r="A398" s="3" t="s">
        <v>58</v>
      </c>
      <c r="B398" s="3">
        <v>5.94173891E8</v>
      </c>
      <c r="C398" s="4">
        <v>27.961</v>
      </c>
      <c r="D398" s="4">
        <v>95.106</v>
      </c>
      <c r="E398" s="4">
        <v>41.486</v>
      </c>
      <c r="F398" s="5">
        <v>19.4</v>
      </c>
      <c r="G398" s="5">
        <v>7.9</v>
      </c>
      <c r="H398" s="4">
        <f t="shared" si="13"/>
        <v>5.703566547</v>
      </c>
      <c r="I398" s="4">
        <f t="shared" si="14"/>
        <v>5.3244926</v>
      </c>
      <c r="J398" s="4">
        <f t="shared" si="15"/>
        <v>5.514029573</v>
      </c>
      <c r="K398" s="4">
        <f t="shared" si="16"/>
        <v>2.292484212</v>
      </c>
      <c r="L398" s="4">
        <f t="shared" si="17"/>
        <v>2.455696203</v>
      </c>
      <c r="M398" s="4">
        <f t="shared" si="18"/>
        <v>-0.06646261489</v>
      </c>
      <c r="N398" s="3" t="s">
        <v>59</v>
      </c>
    </row>
    <row r="399" ht="15.75" customHeight="1">
      <c r="A399" s="3" t="s">
        <v>58</v>
      </c>
      <c r="B399" s="3">
        <v>5.56766951E8</v>
      </c>
      <c r="C399" s="4">
        <v>29.235</v>
      </c>
      <c r="D399" s="4">
        <v>97.986</v>
      </c>
      <c r="E399" s="4">
        <v>42.994</v>
      </c>
      <c r="F399" s="5">
        <v>19.4</v>
      </c>
      <c r="G399" s="5">
        <v>7.9</v>
      </c>
      <c r="H399" s="4">
        <f t="shared" si="13"/>
        <v>5.788163615</v>
      </c>
      <c r="I399" s="4">
        <f t="shared" si="14"/>
        <v>5.371830953</v>
      </c>
      <c r="J399" s="4">
        <f t="shared" si="15"/>
        <v>5.579997284</v>
      </c>
      <c r="K399" s="4">
        <f t="shared" si="16"/>
        <v>2.279062195</v>
      </c>
      <c r="L399" s="4">
        <f t="shared" si="17"/>
        <v>2.455696203</v>
      </c>
      <c r="M399" s="4">
        <f t="shared" si="18"/>
        <v>-0.07192828153</v>
      </c>
      <c r="N399" s="3" t="s">
        <v>59</v>
      </c>
    </row>
    <row r="400" ht="15.75" customHeight="1">
      <c r="A400" s="3" t="s">
        <v>58</v>
      </c>
      <c r="B400" s="3">
        <v>6.17652986E8</v>
      </c>
      <c r="C400" s="4">
        <v>34.855</v>
      </c>
      <c r="D400" s="4">
        <v>116.559</v>
      </c>
      <c r="E400" s="4">
        <v>48.215</v>
      </c>
      <c r="F400" s="5">
        <v>19.4</v>
      </c>
      <c r="G400" s="5">
        <v>7.9</v>
      </c>
      <c r="H400" s="4">
        <f t="shared" si="13"/>
        <v>5.801242289</v>
      </c>
      <c r="I400" s="4">
        <f t="shared" si="14"/>
        <v>5.710971689</v>
      </c>
      <c r="J400" s="4">
        <f t="shared" si="15"/>
        <v>5.756106989</v>
      </c>
      <c r="K400" s="4">
        <f t="shared" si="16"/>
        <v>2.417484185</v>
      </c>
      <c r="L400" s="4">
        <f t="shared" si="17"/>
        <v>2.455696203</v>
      </c>
      <c r="M400" s="4">
        <f t="shared" si="18"/>
        <v>-0.01556056367</v>
      </c>
      <c r="N400" s="3" t="s">
        <v>59</v>
      </c>
    </row>
    <row r="401" ht="15.75" customHeight="1">
      <c r="A401" s="3" t="s">
        <v>58</v>
      </c>
      <c r="B401" s="3">
        <v>1.62774281E8</v>
      </c>
      <c r="C401" s="4">
        <v>28.022</v>
      </c>
      <c r="D401" s="4">
        <v>93.137</v>
      </c>
      <c r="E401" s="4">
        <v>42.5</v>
      </c>
      <c r="F401" s="5">
        <v>19.4</v>
      </c>
      <c r="G401" s="5">
        <v>7.9</v>
      </c>
      <c r="H401" s="4">
        <f t="shared" si="13"/>
        <v>5.83685109</v>
      </c>
      <c r="I401" s="4">
        <f t="shared" si="14"/>
        <v>5.208795294</v>
      </c>
      <c r="J401" s="4">
        <f t="shared" si="15"/>
        <v>5.522823192</v>
      </c>
      <c r="K401" s="4">
        <f t="shared" si="16"/>
        <v>2.191458824</v>
      </c>
      <c r="L401" s="4">
        <f t="shared" si="17"/>
        <v>2.455696203</v>
      </c>
      <c r="M401" s="4">
        <f t="shared" si="18"/>
        <v>-0.1076018193</v>
      </c>
      <c r="N401" s="3" t="s">
        <v>59</v>
      </c>
    </row>
    <row r="402" ht="15.75" customHeight="1">
      <c r="A402" s="3" t="s">
        <v>58</v>
      </c>
      <c r="B402" s="3">
        <v>5.65944031E8</v>
      </c>
      <c r="C402" s="4">
        <v>35.559</v>
      </c>
      <c r="D402" s="4">
        <v>116.499</v>
      </c>
      <c r="E402" s="4">
        <v>47.928</v>
      </c>
      <c r="F402" s="5">
        <v>19.4</v>
      </c>
      <c r="G402" s="5">
        <v>7.9</v>
      </c>
      <c r="H402" s="4">
        <f t="shared" si="13"/>
        <v>5.921463704</v>
      </c>
      <c r="I402" s="4">
        <f t="shared" si="14"/>
        <v>5.861210566</v>
      </c>
      <c r="J402" s="4">
        <f t="shared" si="15"/>
        <v>5.891337135</v>
      </c>
      <c r="K402" s="4">
        <f t="shared" si="16"/>
        <v>2.430708563</v>
      </c>
      <c r="L402" s="4">
        <f t="shared" si="17"/>
        <v>2.455696203</v>
      </c>
      <c r="M402" s="4">
        <f t="shared" si="18"/>
        <v>-0.01017537905</v>
      </c>
      <c r="N402" s="3" t="s">
        <v>59</v>
      </c>
    </row>
    <row r="403" ht="15.75" customHeight="1">
      <c r="A403" s="3" t="s">
        <v>58</v>
      </c>
      <c r="B403" s="3">
        <v>5.44536941E8</v>
      </c>
      <c r="C403" s="4">
        <v>38.039</v>
      </c>
      <c r="D403" s="4">
        <v>123.3</v>
      </c>
      <c r="E403" s="4">
        <v>51.908</v>
      </c>
      <c r="F403" s="5">
        <v>19.4</v>
      </c>
      <c r="G403" s="5">
        <v>7.9</v>
      </c>
      <c r="H403" s="4">
        <f t="shared" si="13"/>
        <v>5.985049473</v>
      </c>
      <c r="I403" s="4">
        <f t="shared" si="14"/>
        <v>5.789244432</v>
      </c>
      <c r="J403" s="4">
        <f t="shared" si="15"/>
        <v>5.887146953</v>
      </c>
      <c r="K403" s="4">
        <f t="shared" si="16"/>
        <v>2.3753564</v>
      </c>
      <c r="L403" s="4">
        <f t="shared" si="17"/>
        <v>2.455696203</v>
      </c>
      <c r="M403" s="4">
        <f t="shared" si="18"/>
        <v>-0.03271569287</v>
      </c>
      <c r="N403" s="3" t="s">
        <v>59</v>
      </c>
    </row>
    <row r="404" ht="15.75" customHeight="1">
      <c r="A404" s="6" t="s">
        <v>58</v>
      </c>
      <c r="B404" s="3">
        <v>5.43853731E8</v>
      </c>
      <c r="C404" s="4">
        <v>38.394</v>
      </c>
      <c r="D404" s="4">
        <v>130.611</v>
      </c>
      <c r="E404" s="4">
        <v>69.211</v>
      </c>
      <c r="F404" s="5">
        <v>19.4</v>
      </c>
      <c r="G404" s="5">
        <v>7.9</v>
      </c>
      <c r="H404" s="4">
        <f t="shared" si="13"/>
        <v>5.702763167</v>
      </c>
      <c r="I404" s="4">
        <f t="shared" si="14"/>
        <v>4.382433428</v>
      </c>
      <c r="J404" s="4">
        <f t="shared" si="15"/>
        <v>5.042598298</v>
      </c>
      <c r="K404" s="4">
        <f t="shared" si="16"/>
        <v>1.887142217</v>
      </c>
      <c r="L404" s="4">
        <f t="shared" si="17"/>
        <v>2.455696203</v>
      </c>
      <c r="M404" s="4">
        <f t="shared" si="18"/>
        <v>-0.231524561</v>
      </c>
      <c r="N404" s="3" t="s">
        <v>59</v>
      </c>
    </row>
    <row r="405" ht="15.75" customHeight="1">
      <c r="A405" s="3" t="s">
        <v>58</v>
      </c>
      <c r="B405" s="3">
        <v>3.14001881E8</v>
      </c>
      <c r="C405" s="4">
        <v>27.079</v>
      </c>
      <c r="D405" s="4">
        <v>86.703</v>
      </c>
      <c r="E405" s="4">
        <v>38.364</v>
      </c>
      <c r="F405" s="5">
        <v>19.4</v>
      </c>
      <c r="G405" s="5">
        <v>7.9</v>
      </c>
      <c r="H405" s="4">
        <f t="shared" si="13"/>
        <v>6.058989885</v>
      </c>
      <c r="I405" s="4">
        <f t="shared" si="14"/>
        <v>5.576167761</v>
      </c>
      <c r="J405" s="4">
        <f t="shared" si="15"/>
        <v>5.817578823</v>
      </c>
      <c r="K405" s="4">
        <f t="shared" si="16"/>
        <v>2.260009384</v>
      </c>
      <c r="L405" s="4">
        <f t="shared" si="17"/>
        <v>2.455696203</v>
      </c>
      <c r="M405" s="4">
        <f t="shared" si="18"/>
        <v>-0.07968690041</v>
      </c>
      <c r="N405" s="3" t="s">
        <v>59</v>
      </c>
    </row>
    <row r="406" ht="15.75" customHeight="1">
      <c r="A406" s="2" t="s">
        <v>58</v>
      </c>
      <c r="B406" s="3">
        <v>2.21752201E8</v>
      </c>
      <c r="C406" s="4">
        <v>33.05</v>
      </c>
      <c r="D406" s="4">
        <v>115.979</v>
      </c>
      <c r="E406" s="4">
        <v>55.235</v>
      </c>
      <c r="F406" s="5">
        <v>19.4</v>
      </c>
      <c r="G406" s="5">
        <v>7.9</v>
      </c>
      <c r="H406" s="4">
        <f t="shared" si="13"/>
        <v>5.528328404</v>
      </c>
      <c r="I406" s="4">
        <f t="shared" si="14"/>
        <v>4.726984702</v>
      </c>
      <c r="J406" s="4">
        <f t="shared" si="15"/>
        <v>5.127656553</v>
      </c>
      <c r="K406" s="4">
        <f t="shared" si="16"/>
        <v>2.099737485</v>
      </c>
      <c r="L406" s="4">
        <f t="shared" si="17"/>
        <v>2.455696203</v>
      </c>
      <c r="M406" s="4">
        <f t="shared" si="18"/>
        <v>-0.1449522611</v>
      </c>
      <c r="N406" s="3" t="s">
        <v>59</v>
      </c>
    </row>
    <row r="407" ht="15.75" customHeight="1">
      <c r="A407" s="3" t="s">
        <v>58</v>
      </c>
      <c r="B407" s="3">
        <v>6.09009414E8</v>
      </c>
      <c r="C407" s="4">
        <v>43.177</v>
      </c>
      <c r="D407" s="4">
        <v>129.409</v>
      </c>
      <c r="E407" s="4">
        <v>58.044</v>
      </c>
      <c r="F407" s="5">
        <v>19.4</v>
      </c>
      <c r="G407" s="5">
        <v>7.9</v>
      </c>
      <c r="H407" s="4">
        <f t="shared" si="13"/>
        <v>6.4727631</v>
      </c>
      <c r="I407" s="4">
        <f t="shared" si="14"/>
        <v>5.876547102</v>
      </c>
      <c r="J407" s="4">
        <f t="shared" si="15"/>
        <v>6.174655101</v>
      </c>
      <c r="K407" s="4">
        <f t="shared" si="16"/>
        <v>2.229498312</v>
      </c>
      <c r="L407" s="4">
        <f t="shared" si="17"/>
        <v>2.455696203</v>
      </c>
      <c r="M407" s="4">
        <f t="shared" si="18"/>
        <v>-0.09211151228</v>
      </c>
      <c r="N407" s="3" t="s">
        <v>59</v>
      </c>
    </row>
    <row r="408" ht="15.75" customHeight="1">
      <c r="A408" s="3" t="s">
        <v>58</v>
      </c>
      <c r="B408" s="3">
        <v>6.30909459E8</v>
      </c>
      <c r="C408" s="4">
        <v>35.062</v>
      </c>
      <c r="D408" s="4">
        <v>108.755</v>
      </c>
      <c r="E408" s="4">
        <v>48.128</v>
      </c>
      <c r="F408" s="5">
        <v>19.4</v>
      </c>
      <c r="G408" s="5">
        <v>7.9</v>
      </c>
      <c r="H408" s="4">
        <f t="shared" si="13"/>
        <v>6.25445083</v>
      </c>
      <c r="I408" s="4">
        <f t="shared" si="14"/>
        <v>5.755273438</v>
      </c>
      <c r="J408" s="4">
        <f t="shared" si="15"/>
        <v>6.004862134</v>
      </c>
      <c r="K408" s="4">
        <f t="shared" si="16"/>
        <v>2.259703291</v>
      </c>
      <c r="L408" s="4">
        <f t="shared" si="17"/>
        <v>2.455696203</v>
      </c>
      <c r="M408" s="4">
        <f t="shared" si="18"/>
        <v>-0.07981154636</v>
      </c>
      <c r="N408" s="3" t="s">
        <v>59</v>
      </c>
    </row>
    <row r="409" ht="15.75" customHeight="1">
      <c r="A409" s="3" t="s">
        <v>58</v>
      </c>
      <c r="B409" s="3">
        <v>3.39836521E8</v>
      </c>
      <c r="C409" s="4">
        <v>31.584</v>
      </c>
      <c r="D409" s="4">
        <v>116.692</v>
      </c>
      <c r="E409" s="4">
        <v>48.516</v>
      </c>
      <c r="F409" s="5">
        <v>19.4</v>
      </c>
      <c r="G409" s="5">
        <v>7.9</v>
      </c>
      <c r="H409" s="4">
        <f t="shared" si="13"/>
        <v>5.25082782</v>
      </c>
      <c r="I409" s="4">
        <f t="shared" si="14"/>
        <v>5.142913678</v>
      </c>
      <c r="J409" s="4">
        <f t="shared" si="15"/>
        <v>5.196870749</v>
      </c>
      <c r="K409" s="4">
        <f t="shared" si="16"/>
        <v>2.405227142</v>
      </c>
      <c r="L409" s="4">
        <f t="shared" si="17"/>
        <v>2.455696203</v>
      </c>
      <c r="M409" s="4">
        <f t="shared" si="18"/>
        <v>-0.02055183411</v>
      </c>
      <c r="N409" s="3" t="s">
        <v>59</v>
      </c>
    </row>
    <row r="410" ht="15.75" customHeight="1">
      <c r="A410" s="6" t="s">
        <v>58</v>
      </c>
      <c r="B410" s="3">
        <v>5.68729551E8</v>
      </c>
      <c r="C410" s="4">
        <v>30.247</v>
      </c>
      <c r="D410" s="4">
        <v>112.207</v>
      </c>
      <c r="E410" s="4">
        <v>38.185</v>
      </c>
      <c r="F410" s="5">
        <v>19.4</v>
      </c>
      <c r="G410" s="5">
        <v>7.9</v>
      </c>
      <c r="H410" s="4">
        <f t="shared" si="13"/>
        <v>5.229547176</v>
      </c>
      <c r="I410" s="4">
        <f t="shared" si="14"/>
        <v>6.257726856</v>
      </c>
      <c r="J410" s="4">
        <f t="shared" si="15"/>
        <v>5.743637016</v>
      </c>
      <c r="K410" s="4">
        <f t="shared" si="16"/>
        <v>2.938509886</v>
      </c>
      <c r="L410" s="4">
        <f t="shared" si="17"/>
        <v>2.455696203</v>
      </c>
      <c r="M410" s="4">
        <f t="shared" si="18"/>
        <v>0.1966096959</v>
      </c>
      <c r="N410" s="3" t="s">
        <v>59</v>
      </c>
    </row>
    <row r="411" ht="15.75" customHeight="1">
      <c r="A411" s="3" t="s">
        <v>58</v>
      </c>
      <c r="B411" s="3">
        <v>2.27211821E8</v>
      </c>
      <c r="C411" s="4">
        <v>39.288</v>
      </c>
      <c r="D411" s="4">
        <v>115.94</v>
      </c>
      <c r="E411" s="4">
        <v>49.991</v>
      </c>
      <c r="F411" s="5">
        <v>19.4</v>
      </c>
      <c r="G411" s="5">
        <v>7.9</v>
      </c>
      <c r="H411" s="4">
        <f t="shared" si="13"/>
        <v>6.573979645</v>
      </c>
      <c r="I411" s="4">
        <f t="shared" si="14"/>
        <v>6.208621552</v>
      </c>
      <c r="J411" s="4">
        <f t="shared" si="15"/>
        <v>6.391300598</v>
      </c>
      <c r="K411" s="4">
        <f t="shared" si="16"/>
        <v>2.319217459</v>
      </c>
      <c r="L411" s="4">
        <f t="shared" si="17"/>
        <v>2.455696203</v>
      </c>
      <c r="M411" s="4">
        <f t="shared" si="18"/>
        <v>-0.0555763955</v>
      </c>
      <c r="N411" s="3" t="s">
        <v>59</v>
      </c>
    </row>
    <row r="412" ht="15.75" customHeight="1">
      <c r="A412" s="3" t="s">
        <v>60</v>
      </c>
      <c r="B412" s="3">
        <v>6.19913672E8</v>
      </c>
      <c r="C412" s="4">
        <v>32.284</v>
      </c>
      <c r="D412" s="4">
        <v>84.897</v>
      </c>
      <c r="E412" s="4">
        <v>40.278</v>
      </c>
      <c r="F412" s="5">
        <v>18.1</v>
      </c>
      <c r="G412" s="5">
        <v>8.8</v>
      </c>
      <c r="H412" s="4">
        <f t="shared" si="13"/>
        <v>6.882933437</v>
      </c>
      <c r="I412" s="4">
        <f t="shared" si="14"/>
        <v>7.053458464</v>
      </c>
      <c r="J412" s="4">
        <f t="shared" si="15"/>
        <v>6.96819595</v>
      </c>
      <c r="K412" s="4">
        <f t="shared" si="16"/>
        <v>2.107775957</v>
      </c>
      <c r="L412" s="4">
        <f t="shared" si="17"/>
        <v>2.056818182</v>
      </c>
      <c r="M412" s="4">
        <f t="shared" si="18"/>
        <v>0.02477505096</v>
      </c>
      <c r="N412" s="3" t="s">
        <v>61</v>
      </c>
    </row>
    <row r="413" ht="15.75" customHeight="1">
      <c r="A413" s="3" t="s">
        <v>60</v>
      </c>
      <c r="B413" s="3">
        <v>6.16659915E8</v>
      </c>
      <c r="C413" s="4">
        <v>42.938</v>
      </c>
      <c r="D413" s="4">
        <v>107.912</v>
      </c>
      <c r="E413" s="4">
        <v>53.816</v>
      </c>
      <c r="F413" s="5">
        <v>18.1</v>
      </c>
      <c r="G413" s="5">
        <v>8.8</v>
      </c>
      <c r="H413" s="4">
        <f t="shared" si="13"/>
        <v>7.201959004</v>
      </c>
      <c r="I413" s="4">
        <f t="shared" si="14"/>
        <v>7.021227888</v>
      </c>
      <c r="J413" s="4">
        <f t="shared" si="15"/>
        <v>7.111593446</v>
      </c>
      <c r="K413" s="4">
        <f t="shared" si="16"/>
        <v>2.005202914</v>
      </c>
      <c r="L413" s="4">
        <f t="shared" si="17"/>
        <v>2.056818182</v>
      </c>
      <c r="M413" s="4">
        <f t="shared" si="18"/>
        <v>-0.02509471602</v>
      </c>
      <c r="N413" s="3" t="s">
        <v>61</v>
      </c>
    </row>
    <row r="414" ht="15.75" customHeight="1">
      <c r="A414" s="3" t="s">
        <v>60</v>
      </c>
      <c r="B414" s="3">
        <v>6.37583073E8</v>
      </c>
      <c r="C414" s="4">
        <v>39.507</v>
      </c>
      <c r="D414" s="4">
        <v>96.422</v>
      </c>
      <c r="E414" s="4">
        <v>52.015</v>
      </c>
      <c r="F414" s="5">
        <v>18.1</v>
      </c>
      <c r="G414" s="5">
        <v>8.8</v>
      </c>
      <c r="H414" s="4">
        <f t="shared" si="13"/>
        <v>7.416115617</v>
      </c>
      <c r="I414" s="4">
        <f t="shared" si="14"/>
        <v>6.68387196</v>
      </c>
      <c r="J414" s="4">
        <f t="shared" si="15"/>
        <v>7.049993788</v>
      </c>
      <c r="K414" s="4">
        <f t="shared" si="16"/>
        <v>1.8537345</v>
      </c>
      <c r="L414" s="4">
        <f t="shared" si="17"/>
        <v>2.056818182</v>
      </c>
      <c r="M414" s="4">
        <f t="shared" si="18"/>
        <v>-0.09873681784</v>
      </c>
      <c r="N414" s="3" t="s">
        <v>61</v>
      </c>
    </row>
    <row r="415" ht="15.75" customHeight="1">
      <c r="A415" s="3" t="s">
        <v>60</v>
      </c>
      <c r="B415" s="3">
        <v>6.29221591E8</v>
      </c>
      <c r="C415" s="4">
        <v>45.364</v>
      </c>
      <c r="D415" s="4">
        <v>118.063</v>
      </c>
      <c r="E415" s="4">
        <v>58.67</v>
      </c>
      <c r="F415" s="5">
        <v>18.1</v>
      </c>
      <c r="G415" s="5">
        <v>8.8</v>
      </c>
      <c r="H415" s="4">
        <f t="shared" si="13"/>
        <v>6.954663188</v>
      </c>
      <c r="I415" s="4">
        <f t="shared" si="14"/>
        <v>6.804213397</v>
      </c>
      <c r="J415" s="4">
        <f t="shared" si="15"/>
        <v>6.879438293</v>
      </c>
      <c r="K415" s="4">
        <f t="shared" si="16"/>
        <v>2.012323163</v>
      </c>
      <c r="L415" s="4">
        <f t="shared" si="17"/>
        <v>2.056818182</v>
      </c>
      <c r="M415" s="4">
        <f t="shared" si="18"/>
        <v>-0.0216329371</v>
      </c>
      <c r="N415" s="3" t="s">
        <v>61</v>
      </c>
    </row>
    <row r="416" ht="15.75" customHeight="1">
      <c r="A416" s="3" t="s">
        <v>60</v>
      </c>
      <c r="B416" s="3">
        <v>6.25677144E8</v>
      </c>
      <c r="C416" s="4">
        <v>54.082</v>
      </c>
      <c r="D416" s="4">
        <v>137.99</v>
      </c>
      <c r="E416" s="4">
        <v>67.862</v>
      </c>
      <c r="F416" s="5">
        <v>18.1</v>
      </c>
      <c r="G416" s="5">
        <v>8.8</v>
      </c>
      <c r="H416" s="4">
        <f t="shared" si="13"/>
        <v>7.093877817</v>
      </c>
      <c r="I416" s="4">
        <f t="shared" si="14"/>
        <v>7.013079485</v>
      </c>
      <c r="J416" s="4">
        <f t="shared" si="15"/>
        <v>7.053478651</v>
      </c>
      <c r="K416" s="4">
        <f t="shared" si="16"/>
        <v>2.033391294</v>
      </c>
      <c r="L416" s="4">
        <f t="shared" si="17"/>
        <v>2.056818182</v>
      </c>
      <c r="M416" s="4">
        <f t="shared" si="18"/>
        <v>-0.01138986806</v>
      </c>
      <c r="N416" s="3" t="s">
        <v>61</v>
      </c>
    </row>
    <row r="417" ht="15.75" customHeight="1">
      <c r="A417" s="3" t="s">
        <v>60</v>
      </c>
      <c r="B417" s="3">
        <v>6.21230064E8</v>
      </c>
      <c r="C417" s="4">
        <v>38.703</v>
      </c>
      <c r="D417" s="4">
        <v>103.216</v>
      </c>
      <c r="E417" s="4">
        <v>51.243</v>
      </c>
      <c r="F417" s="5">
        <v>18.1</v>
      </c>
      <c r="G417" s="5">
        <v>8.8</v>
      </c>
      <c r="H417" s="4">
        <f t="shared" si="13"/>
        <v>6.786973919</v>
      </c>
      <c r="I417" s="4">
        <f t="shared" si="14"/>
        <v>6.646496107</v>
      </c>
      <c r="J417" s="4">
        <f t="shared" si="15"/>
        <v>6.716735013</v>
      </c>
      <c r="K417" s="4">
        <f t="shared" si="16"/>
        <v>2.014245848</v>
      </c>
      <c r="L417" s="4">
        <f t="shared" si="17"/>
        <v>2.056818182</v>
      </c>
      <c r="M417" s="4">
        <f t="shared" si="18"/>
        <v>-0.02069815114</v>
      </c>
      <c r="N417" s="3" t="s">
        <v>61</v>
      </c>
    </row>
    <row r="418" ht="15.75" customHeight="1">
      <c r="A418" s="2" t="s">
        <v>60</v>
      </c>
      <c r="B418" s="3">
        <v>1.35252091E8</v>
      </c>
      <c r="C418" s="4">
        <v>31.549</v>
      </c>
      <c r="D418" s="4">
        <v>84.302</v>
      </c>
      <c r="E418" s="4">
        <v>46.679</v>
      </c>
      <c r="F418" s="5">
        <v>18.1</v>
      </c>
      <c r="G418" s="5">
        <v>8.8</v>
      </c>
      <c r="H418" s="4">
        <f t="shared" si="13"/>
        <v>6.77370525</v>
      </c>
      <c r="I418" s="4">
        <f t="shared" si="14"/>
        <v>5.947668116</v>
      </c>
      <c r="J418" s="4">
        <f t="shared" si="15"/>
        <v>6.360686683</v>
      </c>
      <c r="K418" s="4">
        <f t="shared" si="16"/>
        <v>1.80599413</v>
      </c>
      <c r="L418" s="4">
        <f t="shared" si="17"/>
        <v>2.056818182</v>
      </c>
      <c r="M418" s="4">
        <f t="shared" si="18"/>
        <v>-0.1219476052</v>
      </c>
      <c r="N418" s="3" t="s">
        <v>61</v>
      </c>
    </row>
    <row r="419" ht="15.75" customHeight="1">
      <c r="A419" s="3" t="s">
        <v>60</v>
      </c>
      <c r="B419" s="3">
        <v>6.40135792E8</v>
      </c>
      <c r="C419" s="4">
        <v>37.082</v>
      </c>
      <c r="D419" s="4">
        <v>90.5</v>
      </c>
      <c r="E419" s="4">
        <v>46.632</v>
      </c>
      <c r="F419" s="5">
        <v>18.1</v>
      </c>
      <c r="G419" s="5">
        <v>8.8</v>
      </c>
      <c r="H419" s="4">
        <f t="shared" si="13"/>
        <v>7.4164</v>
      </c>
      <c r="I419" s="4">
        <f t="shared" si="14"/>
        <v>6.997804083</v>
      </c>
      <c r="J419" s="4">
        <f t="shared" si="15"/>
        <v>7.207102042</v>
      </c>
      <c r="K419" s="4">
        <f t="shared" si="16"/>
        <v>1.940727397</v>
      </c>
      <c r="L419" s="4">
        <f t="shared" si="17"/>
        <v>2.056818182</v>
      </c>
      <c r="M419" s="4">
        <f t="shared" si="18"/>
        <v>-0.05644192829</v>
      </c>
      <c r="N419" s="3" t="s">
        <v>61</v>
      </c>
    </row>
    <row r="420" ht="15.75" customHeight="1">
      <c r="A420" s="3" t="s">
        <v>60</v>
      </c>
      <c r="B420" s="3">
        <v>5.68269871E8</v>
      </c>
      <c r="C420" s="4">
        <v>43.431</v>
      </c>
      <c r="D420" s="4">
        <v>117.805</v>
      </c>
      <c r="E420" s="4">
        <v>56.246</v>
      </c>
      <c r="F420" s="5">
        <v>18.1</v>
      </c>
      <c r="G420" s="5">
        <v>8.8</v>
      </c>
      <c r="H420" s="4">
        <f t="shared" si="13"/>
        <v>6.67290098</v>
      </c>
      <c r="I420" s="4">
        <f t="shared" si="14"/>
        <v>6.795021868</v>
      </c>
      <c r="J420" s="4">
        <f t="shared" si="15"/>
        <v>6.733961424</v>
      </c>
      <c r="K420" s="4">
        <f t="shared" si="16"/>
        <v>2.09446005</v>
      </c>
      <c r="L420" s="4">
        <f t="shared" si="17"/>
        <v>2.056818182</v>
      </c>
      <c r="M420" s="4">
        <f t="shared" si="18"/>
        <v>0.01830101902</v>
      </c>
      <c r="N420" s="3" t="s">
        <v>61</v>
      </c>
    </row>
    <row r="421" ht="15.75" customHeight="1">
      <c r="A421" s="3" t="s">
        <v>60</v>
      </c>
      <c r="B421" s="3">
        <v>5.64824531E8</v>
      </c>
      <c r="C421" s="4">
        <v>22.333</v>
      </c>
      <c r="D421" s="4">
        <v>83.518</v>
      </c>
      <c r="E421" s="4">
        <v>38.823</v>
      </c>
      <c r="F421" s="5">
        <v>18.1</v>
      </c>
      <c r="G421" s="5">
        <v>8.8</v>
      </c>
      <c r="H421" s="4">
        <f t="shared" si="13"/>
        <v>4.840002155</v>
      </c>
      <c r="I421" s="4">
        <f t="shared" si="14"/>
        <v>5.062215697</v>
      </c>
      <c r="J421" s="4">
        <f t="shared" si="15"/>
        <v>4.951108926</v>
      </c>
      <c r="K421" s="4">
        <f t="shared" si="16"/>
        <v>2.151250547</v>
      </c>
      <c r="L421" s="4">
        <f t="shared" si="17"/>
        <v>2.056818182</v>
      </c>
      <c r="M421" s="4">
        <f t="shared" si="18"/>
        <v>0.04591186833</v>
      </c>
      <c r="N421" s="3" t="s">
        <v>61</v>
      </c>
    </row>
    <row r="422" ht="15.75" customHeight="1">
      <c r="A422" s="3" t="s">
        <v>60</v>
      </c>
      <c r="B422" s="3">
        <v>6.2607989E8</v>
      </c>
      <c r="C422" s="4">
        <v>32.004</v>
      </c>
      <c r="D422" s="4">
        <v>74.722</v>
      </c>
      <c r="E422" s="4">
        <v>38.779</v>
      </c>
      <c r="F422" s="5">
        <v>18.1</v>
      </c>
      <c r="G422" s="5">
        <v>8.8</v>
      </c>
      <c r="H422" s="4">
        <f t="shared" si="13"/>
        <v>7.752367442</v>
      </c>
      <c r="I422" s="4">
        <f t="shared" si="14"/>
        <v>7.262569948</v>
      </c>
      <c r="J422" s="4">
        <f t="shared" si="15"/>
        <v>7.507468695</v>
      </c>
      <c r="K422" s="4">
        <f t="shared" si="16"/>
        <v>1.926867635</v>
      </c>
      <c r="L422" s="4">
        <f t="shared" si="17"/>
        <v>2.056818182</v>
      </c>
      <c r="M422" s="4">
        <f t="shared" si="18"/>
        <v>-0.06318037658</v>
      </c>
      <c r="N422" s="3" t="s">
        <v>61</v>
      </c>
    </row>
    <row r="423" ht="15.75" customHeight="1">
      <c r="A423" s="3" t="s">
        <v>60</v>
      </c>
      <c r="B423" s="3">
        <v>4.02921441E8</v>
      </c>
      <c r="C423" s="4">
        <v>29.058</v>
      </c>
      <c r="D423" s="4">
        <v>74.081</v>
      </c>
      <c r="E423" s="4">
        <v>40.278</v>
      </c>
      <c r="F423" s="5">
        <v>18.1</v>
      </c>
      <c r="G423" s="5">
        <v>8.8</v>
      </c>
      <c r="H423" s="4">
        <f t="shared" si="13"/>
        <v>7.099658482</v>
      </c>
      <c r="I423" s="4">
        <f t="shared" si="14"/>
        <v>6.348636973</v>
      </c>
      <c r="J423" s="4">
        <f t="shared" si="15"/>
        <v>6.724147727</v>
      </c>
      <c r="K423" s="4">
        <f t="shared" si="16"/>
        <v>1.839242266</v>
      </c>
      <c r="L423" s="4">
        <f t="shared" si="17"/>
        <v>2.056818182</v>
      </c>
      <c r="M423" s="4">
        <f t="shared" si="18"/>
        <v>-0.1057827656</v>
      </c>
      <c r="N423" s="3" t="s">
        <v>61</v>
      </c>
    </row>
    <row r="424" ht="15.75" customHeight="1">
      <c r="A424" s="3" t="s">
        <v>60</v>
      </c>
      <c r="B424" s="3">
        <v>6.31900606E8</v>
      </c>
      <c r="C424" s="4">
        <v>48.914</v>
      </c>
      <c r="D424" s="4">
        <v>117.008</v>
      </c>
      <c r="E424" s="4">
        <v>59.586</v>
      </c>
      <c r="F424" s="5">
        <v>18.1</v>
      </c>
      <c r="G424" s="5">
        <v>8.8</v>
      </c>
      <c r="H424" s="4">
        <f t="shared" si="13"/>
        <v>7.566520238</v>
      </c>
      <c r="I424" s="4">
        <f t="shared" si="14"/>
        <v>7.223898231</v>
      </c>
      <c r="J424" s="4">
        <f t="shared" si="15"/>
        <v>7.395209235</v>
      </c>
      <c r="K424" s="4">
        <f t="shared" si="16"/>
        <v>1.963682744</v>
      </c>
      <c r="L424" s="4">
        <f t="shared" si="17"/>
        <v>2.056818182</v>
      </c>
      <c r="M424" s="4">
        <f t="shared" si="18"/>
        <v>-0.0452813177</v>
      </c>
      <c r="N424" s="3" t="s">
        <v>61</v>
      </c>
    </row>
    <row r="425" ht="15.75" customHeight="1">
      <c r="A425" s="3" t="s">
        <v>60</v>
      </c>
      <c r="B425" s="3">
        <v>5.7071501E7</v>
      </c>
      <c r="C425" s="4">
        <v>36.301</v>
      </c>
      <c r="D425" s="4">
        <v>90.272</v>
      </c>
      <c r="E425" s="4">
        <v>46.756</v>
      </c>
      <c r="F425" s="5">
        <v>18.1</v>
      </c>
      <c r="G425" s="5">
        <v>8.8</v>
      </c>
      <c r="H425" s="4">
        <f t="shared" si="13"/>
        <v>7.278537088</v>
      </c>
      <c r="I425" s="4">
        <f t="shared" si="14"/>
        <v>6.832252545</v>
      </c>
      <c r="J425" s="4">
        <f t="shared" si="15"/>
        <v>7.055394817</v>
      </c>
      <c r="K425" s="4">
        <f t="shared" si="16"/>
        <v>1.930704081</v>
      </c>
      <c r="L425" s="4">
        <f t="shared" si="17"/>
        <v>2.056818182</v>
      </c>
      <c r="M425" s="4">
        <f t="shared" si="18"/>
        <v>-0.06131514306</v>
      </c>
      <c r="N425" s="3" t="s">
        <v>61</v>
      </c>
    </row>
    <row r="426" ht="15.75" customHeight="1">
      <c r="A426" s="3" t="s">
        <v>60</v>
      </c>
      <c r="B426" s="3">
        <v>6.13455482E8</v>
      </c>
      <c r="C426" s="4">
        <v>30.481</v>
      </c>
      <c r="D426" s="4">
        <v>68.701</v>
      </c>
      <c r="E426" s="4">
        <v>32.887</v>
      </c>
      <c r="F426" s="5">
        <v>18.1</v>
      </c>
      <c r="G426" s="5">
        <v>8.8</v>
      </c>
      <c r="H426" s="4">
        <f t="shared" si="13"/>
        <v>8.030539585</v>
      </c>
      <c r="I426" s="4">
        <f t="shared" si="14"/>
        <v>8.156195457</v>
      </c>
      <c r="J426" s="4">
        <f t="shared" si="15"/>
        <v>8.093367521</v>
      </c>
      <c r="K426" s="4">
        <f t="shared" si="16"/>
        <v>2.089001733</v>
      </c>
      <c r="L426" s="4">
        <f t="shared" si="17"/>
        <v>2.056818182</v>
      </c>
      <c r="M426" s="4">
        <f t="shared" si="18"/>
        <v>0.0156472515</v>
      </c>
      <c r="N426" s="3" t="s">
        <v>61</v>
      </c>
    </row>
    <row r="427" ht="15.75" customHeight="1">
      <c r="A427" s="3" t="s">
        <v>62</v>
      </c>
      <c r="B427" s="3">
        <v>6.34014979E8</v>
      </c>
      <c r="C427" s="4">
        <v>33.979</v>
      </c>
      <c r="D427" s="4">
        <v>71.118</v>
      </c>
      <c r="E427" s="4">
        <v>35.199</v>
      </c>
      <c r="F427" s="5">
        <v>7.0</v>
      </c>
      <c r="G427" s="5">
        <v>3.5</v>
      </c>
      <c r="H427" s="4">
        <f t="shared" si="13"/>
        <v>3.344483816</v>
      </c>
      <c r="I427" s="4">
        <f t="shared" si="14"/>
        <v>3.378689736</v>
      </c>
      <c r="J427" s="4">
        <f t="shared" si="15"/>
        <v>3.361586776</v>
      </c>
      <c r="K427" s="4">
        <f t="shared" si="16"/>
        <v>2.020455127</v>
      </c>
      <c r="L427" s="4">
        <f t="shared" si="17"/>
        <v>2</v>
      </c>
      <c r="M427" s="4">
        <f t="shared" si="18"/>
        <v>0.01022756328</v>
      </c>
      <c r="N427" s="3" t="s">
        <v>63</v>
      </c>
    </row>
    <row r="428" ht="15.75" customHeight="1">
      <c r="A428" s="3" t="s">
        <v>62</v>
      </c>
      <c r="B428" s="3">
        <v>6.24025581E8</v>
      </c>
      <c r="C428" s="4">
        <v>35.199</v>
      </c>
      <c r="D428" s="4">
        <v>67.847</v>
      </c>
      <c r="E428" s="4">
        <v>37.176</v>
      </c>
      <c r="F428" s="5">
        <v>7.0</v>
      </c>
      <c r="G428" s="5">
        <v>3.5</v>
      </c>
      <c r="H428" s="4">
        <f t="shared" si="13"/>
        <v>3.631597565</v>
      </c>
      <c r="I428" s="4">
        <f t="shared" si="14"/>
        <v>3.313871853</v>
      </c>
      <c r="J428" s="4">
        <f t="shared" si="15"/>
        <v>3.472734709</v>
      </c>
      <c r="K428" s="4">
        <f t="shared" si="16"/>
        <v>1.825021519</v>
      </c>
      <c r="L428" s="4">
        <f t="shared" si="17"/>
        <v>2</v>
      </c>
      <c r="M428" s="4">
        <f t="shared" si="18"/>
        <v>-0.08748924037</v>
      </c>
      <c r="N428" s="3" t="s">
        <v>63</v>
      </c>
    </row>
    <row r="429" ht="15.75" customHeight="1">
      <c r="A429" s="3" t="s">
        <v>62</v>
      </c>
      <c r="B429" s="3">
        <v>6.26072998E8</v>
      </c>
      <c r="C429" s="4">
        <v>27.681</v>
      </c>
      <c r="D429" s="4">
        <v>56.896</v>
      </c>
      <c r="E429" s="4">
        <v>31.337</v>
      </c>
      <c r="F429" s="5">
        <v>7.0</v>
      </c>
      <c r="G429" s="5">
        <v>3.5</v>
      </c>
      <c r="H429" s="4">
        <f t="shared" si="13"/>
        <v>3.405634843</v>
      </c>
      <c r="I429" s="4">
        <f t="shared" si="14"/>
        <v>3.091664805</v>
      </c>
      <c r="J429" s="4">
        <f t="shared" si="15"/>
        <v>3.248649824</v>
      </c>
      <c r="K429" s="4">
        <f t="shared" si="16"/>
        <v>1.815617321</v>
      </c>
      <c r="L429" s="4">
        <f t="shared" si="17"/>
        <v>2</v>
      </c>
      <c r="M429" s="4">
        <f t="shared" si="18"/>
        <v>-0.09219133931</v>
      </c>
      <c r="N429" s="3" t="s">
        <v>63</v>
      </c>
    </row>
    <row r="430" ht="15.75" customHeight="1">
      <c r="A430" s="3" t="s">
        <v>62</v>
      </c>
      <c r="B430" s="3">
        <v>5.98437481E8</v>
      </c>
      <c r="C430" s="4">
        <v>34.262</v>
      </c>
      <c r="D430" s="4">
        <v>67.854</v>
      </c>
      <c r="E430" s="4">
        <v>37.054</v>
      </c>
      <c r="F430" s="5">
        <v>7.0</v>
      </c>
      <c r="G430" s="5">
        <v>3.5</v>
      </c>
      <c r="H430" s="4">
        <f t="shared" si="13"/>
        <v>3.534559495</v>
      </c>
      <c r="I430" s="4">
        <f t="shared" si="14"/>
        <v>3.236276785</v>
      </c>
      <c r="J430" s="4">
        <f t="shared" si="15"/>
        <v>3.38541814</v>
      </c>
      <c r="K430" s="4">
        <f t="shared" si="16"/>
        <v>1.831219302</v>
      </c>
      <c r="L430" s="4">
        <f t="shared" si="17"/>
        <v>2</v>
      </c>
      <c r="M430" s="4">
        <f t="shared" si="18"/>
        <v>-0.08439034922</v>
      </c>
      <c r="N430" s="3" t="s">
        <v>63</v>
      </c>
    </row>
    <row r="431" ht="15.75" customHeight="1">
      <c r="A431" s="3" t="s">
        <v>62</v>
      </c>
      <c r="B431" s="3">
        <v>6.2010158E8</v>
      </c>
      <c r="C431" s="4">
        <v>35.872</v>
      </c>
      <c r="D431" s="4">
        <v>68.156</v>
      </c>
      <c r="E431" s="4">
        <v>34.606</v>
      </c>
      <c r="F431" s="5">
        <v>7.0</v>
      </c>
      <c r="G431" s="5">
        <v>3.5</v>
      </c>
      <c r="H431" s="4">
        <f t="shared" si="13"/>
        <v>3.684253771</v>
      </c>
      <c r="I431" s="4">
        <f t="shared" si="14"/>
        <v>3.62804138</v>
      </c>
      <c r="J431" s="4">
        <f t="shared" si="15"/>
        <v>3.656147575</v>
      </c>
      <c r="K431" s="4">
        <f t="shared" si="16"/>
        <v>1.96948506</v>
      </c>
      <c r="L431" s="4">
        <f t="shared" si="17"/>
        <v>2</v>
      </c>
      <c r="M431" s="4">
        <f t="shared" si="18"/>
        <v>-0.0152574698</v>
      </c>
      <c r="N431" s="3" t="s">
        <v>63</v>
      </c>
    </row>
    <row r="432" ht="15.75" customHeight="1">
      <c r="A432" s="3" t="s">
        <v>62</v>
      </c>
      <c r="B432" s="3">
        <v>2.04714801E8</v>
      </c>
      <c r="C432" s="4">
        <v>32.956</v>
      </c>
      <c r="D432" s="4">
        <v>62.121</v>
      </c>
      <c r="E432" s="4">
        <v>31.158</v>
      </c>
      <c r="F432" s="5">
        <v>7.0</v>
      </c>
      <c r="G432" s="5">
        <v>3.5</v>
      </c>
      <c r="H432" s="4">
        <f t="shared" si="13"/>
        <v>3.713591217</v>
      </c>
      <c r="I432" s="4">
        <f t="shared" si="14"/>
        <v>3.701970601</v>
      </c>
      <c r="J432" s="4">
        <f t="shared" si="15"/>
        <v>3.707780909</v>
      </c>
      <c r="K432" s="4">
        <f t="shared" si="16"/>
        <v>1.993741575</v>
      </c>
      <c r="L432" s="4">
        <f t="shared" si="17"/>
        <v>2</v>
      </c>
      <c r="M432" s="4">
        <f t="shared" si="18"/>
        <v>-0.003129212401</v>
      </c>
      <c r="N432" s="3" t="s">
        <v>63</v>
      </c>
    </row>
    <row r="433" ht="15.75" customHeight="1">
      <c r="A433" s="3" t="s">
        <v>62</v>
      </c>
      <c r="B433" s="3">
        <v>6.44397045E8</v>
      </c>
      <c r="C433" s="4">
        <v>38.899</v>
      </c>
      <c r="D433" s="4">
        <v>75.854</v>
      </c>
      <c r="E433" s="4">
        <v>42.277</v>
      </c>
      <c r="F433" s="5">
        <v>7.0</v>
      </c>
      <c r="G433" s="5">
        <v>3.5</v>
      </c>
      <c r="H433" s="4">
        <f t="shared" si="13"/>
        <v>3.589698632</v>
      </c>
      <c r="I433" s="4">
        <f t="shared" si="14"/>
        <v>3.220344395</v>
      </c>
      <c r="J433" s="4">
        <f t="shared" si="15"/>
        <v>3.405021513</v>
      </c>
      <c r="K433" s="4">
        <f t="shared" si="16"/>
        <v>1.794214348</v>
      </c>
      <c r="L433" s="4">
        <f t="shared" si="17"/>
        <v>2</v>
      </c>
      <c r="M433" s="4">
        <f t="shared" si="18"/>
        <v>-0.1028928259</v>
      </c>
      <c r="N433" s="3" t="s">
        <v>63</v>
      </c>
    </row>
    <row r="434" ht="15.75" customHeight="1">
      <c r="A434" s="3" t="s">
        <v>62</v>
      </c>
      <c r="B434" s="3">
        <v>6.43416695E8</v>
      </c>
      <c r="C434" s="4">
        <v>37.417</v>
      </c>
      <c r="D434" s="4">
        <v>63.75</v>
      </c>
      <c r="E434" s="4">
        <v>33.242</v>
      </c>
      <c r="F434" s="5">
        <v>7.0</v>
      </c>
      <c r="G434" s="5">
        <v>3.5</v>
      </c>
      <c r="H434" s="4">
        <f t="shared" si="13"/>
        <v>4.108533333</v>
      </c>
      <c r="I434" s="4">
        <f t="shared" si="14"/>
        <v>3.939579448</v>
      </c>
      <c r="J434" s="4">
        <f t="shared" si="15"/>
        <v>4.024056391</v>
      </c>
      <c r="K434" s="4">
        <f t="shared" si="16"/>
        <v>1.917754648</v>
      </c>
      <c r="L434" s="4">
        <f t="shared" si="17"/>
        <v>2</v>
      </c>
      <c r="M434" s="4">
        <f t="shared" si="18"/>
        <v>-0.04112267613</v>
      </c>
      <c r="N434" s="3" t="s">
        <v>63</v>
      </c>
    </row>
    <row r="435" ht="15.75" customHeight="1">
      <c r="A435" s="3" t="s">
        <v>62</v>
      </c>
      <c r="B435" s="3">
        <v>6.42333378E8</v>
      </c>
      <c r="C435" s="4">
        <v>28.748</v>
      </c>
      <c r="D435" s="4">
        <v>60.104</v>
      </c>
      <c r="E435" s="4">
        <v>31.869</v>
      </c>
      <c r="F435" s="5">
        <v>7.0</v>
      </c>
      <c r="G435" s="5">
        <v>3.5</v>
      </c>
      <c r="H435" s="4">
        <f t="shared" si="13"/>
        <v>3.348129908</v>
      </c>
      <c r="I435" s="4">
        <f t="shared" si="14"/>
        <v>3.157237441</v>
      </c>
      <c r="J435" s="4">
        <f t="shared" si="15"/>
        <v>3.252683674</v>
      </c>
      <c r="K435" s="4">
        <f t="shared" si="16"/>
        <v>1.885970693</v>
      </c>
      <c r="L435" s="4">
        <f t="shared" si="17"/>
        <v>2</v>
      </c>
      <c r="M435" s="4">
        <f t="shared" si="18"/>
        <v>-0.05701465374</v>
      </c>
      <c r="N435" s="3" t="s">
        <v>63</v>
      </c>
    </row>
    <row r="436" ht="15.75" customHeight="1">
      <c r="A436" s="3" t="s">
        <v>62</v>
      </c>
      <c r="B436" s="3">
        <v>6.40412347E8</v>
      </c>
      <c r="C436" s="4">
        <v>24.334</v>
      </c>
      <c r="D436" s="4">
        <v>69.956</v>
      </c>
      <c r="E436" s="4">
        <v>38.541</v>
      </c>
      <c r="F436" s="5">
        <v>7.0</v>
      </c>
      <c r="G436" s="5">
        <v>3.5</v>
      </c>
      <c r="H436" s="4">
        <f t="shared" si="13"/>
        <v>2.434930528</v>
      </c>
      <c r="I436" s="4">
        <f t="shared" si="14"/>
        <v>2.209828494</v>
      </c>
      <c r="J436" s="4">
        <f t="shared" si="15"/>
        <v>2.322379511</v>
      </c>
      <c r="K436" s="4">
        <f t="shared" si="16"/>
        <v>1.815105991</v>
      </c>
      <c r="L436" s="4">
        <f t="shared" si="17"/>
        <v>2</v>
      </c>
      <c r="M436" s="4">
        <f t="shared" si="18"/>
        <v>-0.09244700449</v>
      </c>
      <c r="N436" s="3" t="s">
        <v>63</v>
      </c>
    </row>
    <row r="437" ht="15.75" customHeight="1">
      <c r="A437" s="3" t="s">
        <v>62</v>
      </c>
      <c r="B437" s="3">
        <v>6.30711579E8</v>
      </c>
      <c r="C437" s="4">
        <v>28.443</v>
      </c>
      <c r="D437" s="4">
        <v>58.266</v>
      </c>
      <c r="E437" s="4">
        <v>30.727</v>
      </c>
      <c r="F437" s="5">
        <v>7.0</v>
      </c>
      <c r="G437" s="5">
        <v>3.5</v>
      </c>
      <c r="H437" s="4">
        <f t="shared" si="13"/>
        <v>3.417104315</v>
      </c>
      <c r="I437" s="4">
        <f t="shared" si="14"/>
        <v>3.239837928</v>
      </c>
      <c r="J437" s="4">
        <f t="shared" si="15"/>
        <v>3.328471121</v>
      </c>
      <c r="K437" s="4">
        <f t="shared" si="16"/>
        <v>1.8962476</v>
      </c>
      <c r="L437" s="4">
        <f t="shared" si="17"/>
        <v>2</v>
      </c>
      <c r="M437" s="4">
        <f t="shared" si="18"/>
        <v>-0.05187620008</v>
      </c>
      <c r="N437" s="3" t="s">
        <v>63</v>
      </c>
    </row>
    <row r="438" ht="15.75" customHeight="1">
      <c r="A438" s="3" t="s">
        <v>62</v>
      </c>
      <c r="B438" s="3">
        <v>6.26859513E8</v>
      </c>
      <c r="C438" s="4">
        <v>39.869</v>
      </c>
      <c r="D438" s="4">
        <v>72.478</v>
      </c>
      <c r="E438" s="4">
        <v>36.264</v>
      </c>
      <c r="F438" s="5">
        <v>7.0</v>
      </c>
      <c r="G438" s="5">
        <v>3.5</v>
      </c>
      <c r="H438" s="4">
        <f t="shared" si="13"/>
        <v>3.850589144</v>
      </c>
      <c r="I438" s="4">
        <f t="shared" si="14"/>
        <v>3.847934591</v>
      </c>
      <c r="J438" s="4">
        <f t="shared" si="15"/>
        <v>3.849261868</v>
      </c>
      <c r="K438" s="4">
        <f t="shared" si="16"/>
        <v>1.998621222</v>
      </c>
      <c r="L438" s="4">
        <f t="shared" si="17"/>
        <v>2</v>
      </c>
      <c r="M438" s="4">
        <f t="shared" si="18"/>
        <v>-0.0006893889257</v>
      </c>
      <c r="N438" s="3" t="s">
        <v>63</v>
      </c>
    </row>
    <row r="439" ht="15.75" customHeight="1">
      <c r="A439" s="3" t="s">
        <v>62</v>
      </c>
      <c r="B439" s="3">
        <v>2.05950861E8</v>
      </c>
      <c r="C439" s="4">
        <v>46.209</v>
      </c>
      <c r="D439" s="4">
        <v>71.537</v>
      </c>
      <c r="E439" s="4">
        <v>39.757</v>
      </c>
      <c r="F439" s="5">
        <v>7.0</v>
      </c>
      <c r="G439" s="5">
        <v>3.5</v>
      </c>
      <c r="H439" s="4">
        <f t="shared" si="13"/>
        <v>4.521618184</v>
      </c>
      <c r="I439" s="4">
        <f t="shared" si="14"/>
        <v>4.068000604</v>
      </c>
      <c r="J439" s="4">
        <f t="shared" si="15"/>
        <v>4.294809394</v>
      </c>
      <c r="K439" s="4">
        <f t="shared" si="16"/>
        <v>1.799356088</v>
      </c>
      <c r="L439" s="4">
        <f t="shared" si="17"/>
        <v>2</v>
      </c>
      <c r="M439" s="4">
        <f t="shared" si="18"/>
        <v>-0.1003219559</v>
      </c>
      <c r="N439" s="3" t="s">
        <v>63</v>
      </c>
    </row>
    <row r="440" ht="15.75" customHeight="1">
      <c r="A440" s="2" t="s">
        <v>62</v>
      </c>
      <c r="B440" s="3">
        <v>6.43357784E8</v>
      </c>
      <c r="C440" s="4">
        <v>43.176</v>
      </c>
      <c r="D440" s="4">
        <v>76.073</v>
      </c>
      <c r="E440" s="4">
        <v>42.854</v>
      </c>
      <c r="F440" s="5">
        <v>7.0</v>
      </c>
      <c r="G440" s="5">
        <v>3.5</v>
      </c>
      <c r="H440" s="4">
        <f t="shared" si="13"/>
        <v>3.972920747</v>
      </c>
      <c r="I440" s="4">
        <f t="shared" si="14"/>
        <v>3.526298595</v>
      </c>
      <c r="J440" s="4">
        <f t="shared" si="15"/>
        <v>3.749609671</v>
      </c>
      <c r="K440" s="4">
        <f t="shared" si="16"/>
        <v>1.775166846</v>
      </c>
      <c r="L440" s="4">
        <f t="shared" si="17"/>
        <v>2</v>
      </c>
      <c r="M440" s="4">
        <f t="shared" si="18"/>
        <v>-0.1124165772</v>
      </c>
      <c r="N440" s="3" t="s">
        <v>63</v>
      </c>
    </row>
    <row r="441" ht="15.75" customHeight="1">
      <c r="A441" s="3" t="s">
        <v>62</v>
      </c>
      <c r="B441" s="3">
        <v>6.26489236E8</v>
      </c>
      <c r="C441" s="4">
        <v>37.318</v>
      </c>
      <c r="D441" s="4">
        <v>61.439</v>
      </c>
      <c r="E441" s="4">
        <v>32.953</v>
      </c>
      <c r="F441" s="5">
        <v>7.0</v>
      </c>
      <c r="G441" s="5">
        <v>3.5</v>
      </c>
      <c r="H441" s="4">
        <f t="shared" si="13"/>
        <v>4.251794463</v>
      </c>
      <c r="I441" s="4">
        <f t="shared" si="14"/>
        <v>3.963614845</v>
      </c>
      <c r="J441" s="4">
        <f t="shared" si="15"/>
        <v>4.107704654</v>
      </c>
      <c r="K441" s="4">
        <f t="shared" si="16"/>
        <v>1.864443298</v>
      </c>
      <c r="L441" s="4">
        <f t="shared" si="17"/>
        <v>2</v>
      </c>
      <c r="M441" s="4">
        <f t="shared" si="18"/>
        <v>-0.06777835098</v>
      </c>
      <c r="N441" s="3" t="s">
        <v>63</v>
      </c>
    </row>
    <row r="442" ht="15.75" customHeight="1">
      <c r="A442" s="6" t="s">
        <v>64</v>
      </c>
      <c r="B442" s="3">
        <v>6.22919342E8</v>
      </c>
      <c r="C442" s="4">
        <v>49.163</v>
      </c>
      <c r="D442" s="4">
        <v>117.504</v>
      </c>
      <c r="E442" s="4">
        <v>52.334</v>
      </c>
      <c r="F442" s="5">
        <v>16.1</v>
      </c>
      <c r="G442" s="5">
        <v>5.8</v>
      </c>
      <c r="H442" s="4">
        <f t="shared" si="13"/>
        <v>6.736147706</v>
      </c>
      <c r="I442" s="4">
        <f t="shared" si="14"/>
        <v>5.448568808</v>
      </c>
      <c r="J442" s="4">
        <f t="shared" si="15"/>
        <v>6.092358257</v>
      </c>
      <c r="K442" s="4">
        <f t="shared" si="16"/>
        <v>2.245270761</v>
      </c>
      <c r="L442" s="4">
        <f t="shared" si="17"/>
        <v>2.775862069</v>
      </c>
      <c r="M442" s="4">
        <f t="shared" si="18"/>
        <v>-0.1911446948</v>
      </c>
      <c r="N442" s="3" t="s">
        <v>65</v>
      </c>
    </row>
    <row r="443" ht="15.75" customHeight="1">
      <c r="A443" s="3" t="s">
        <v>64</v>
      </c>
      <c r="B443" s="3">
        <v>6.15867648E8</v>
      </c>
      <c r="C443" s="4">
        <v>36.71</v>
      </c>
      <c r="D443" s="4">
        <v>113.464</v>
      </c>
      <c r="E443" s="4">
        <v>44.873</v>
      </c>
      <c r="F443" s="5">
        <v>16.1</v>
      </c>
      <c r="G443" s="5">
        <v>5.8</v>
      </c>
      <c r="H443" s="4">
        <f t="shared" si="13"/>
        <v>5.208973771</v>
      </c>
      <c r="I443" s="4">
        <f t="shared" si="14"/>
        <v>4.74490228</v>
      </c>
      <c r="J443" s="4">
        <f t="shared" si="15"/>
        <v>4.976938026</v>
      </c>
      <c r="K443" s="4">
        <f t="shared" si="16"/>
        <v>2.528558376</v>
      </c>
      <c r="L443" s="4">
        <f t="shared" si="17"/>
        <v>2.775862069</v>
      </c>
      <c r="M443" s="4">
        <f t="shared" si="18"/>
        <v>-0.08909077143</v>
      </c>
      <c r="N443" s="3" t="s">
        <v>65</v>
      </c>
    </row>
    <row r="444" ht="15.75" customHeight="1">
      <c r="A444" s="3" t="s">
        <v>64</v>
      </c>
      <c r="B444" s="3">
        <v>6.0303451E7</v>
      </c>
      <c r="C444" s="4">
        <v>33.864</v>
      </c>
      <c r="D444" s="4">
        <v>102.399</v>
      </c>
      <c r="E444" s="4">
        <v>39.013</v>
      </c>
      <c r="F444" s="5">
        <v>16.1</v>
      </c>
      <c r="G444" s="5">
        <v>5.8</v>
      </c>
      <c r="H444" s="4">
        <f t="shared" si="13"/>
        <v>5.324372308</v>
      </c>
      <c r="I444" s="4">
        <f t="shared" si="14"/>
        <v>5.034506447</v>
      </c>
      <c r="J444" s="4">
        <f t="shared" si="15"/>
        <v>5.179439377</v>
      </c>
      <c r="K444" s="4">
        <f t="shared" si="16"/>
        <v>2.624740471</v>
      </c>
      <c r="L444" s="4">
        <f t="shared" si="17"/>
        <v>2.775862069</v>
      </c>
      <c r="M444" s="4">
        <f t="shared" si="18"/>
        <v>-0.05444132096</v>
      </c>
      <c r="N444" s="3" t="s">
        <v>65</v>
      </c>
    </row>
    <row r="445" ht="15.75" customHeight="1">
      <c r="A445" s="2" t="s">
        <v>64</v>
      </c>
      <c r="B445" s="3">
        <v>6.48031499E8</v>
      </c>
      <c r="C445" s="4">
        <v>37.65</v>
      </c>
      <c r="D445" s="4">
        <v>108.718</v>
      </c>
      <c r="E445" s="4">
        <v>44.85</v>
      </c>
      <c r="F445" s="5">
        <v>16.1</v>
      </c>
      <c r="G445" s="5">
        <v>5.8</v>
      </c>
      <c r="H445" s="4">
        <f t="shared" si="13"/>
        <v>5.575571662</v>
      </c>
      <c r="I445" s="4">
        <f t="shared" si="14"/>
        <v>4.868896321</v>
      </c>
      <c r="J445" s="4">
        <f t="shared" si="15"/>
        <v>5.222233992</v>
      </c>
      <c r="K445" s="4">
        <f t="shared" si="16"/>
        <v>2.424035674</v>
      </c>
      <c r="L445" s="4">
        <f t="shared" si="17"/>
        <v>2.775862069</v>
      </c>
      <c r="M445" s="4">
        <f t="shared" si="18"/>
        <v>-0.1267449123</v>
      </c>
      <c r="N445" s="3" t="s">
        <v>65</v>
      </c>
    </row>
    <row r="446" ht="15.75" customHeight="1">
      <c r="A446" s="2" t="s">
        <v>64</v>
      </c>
      <c r="B446" s="3">
        <v>6.41126159E8</v>
      </c>
      <c r="C446" s="4">
        <v>44.853</v>
      </c>
      <c r="D446" s="4">
        <v>132.662</v>
      </c>
      <c r="E446" s="4">
        <v>56.396</v>
      </c>
      <c r="F446" s="5">
        <v>16.1</v>
      </c>
      <c r="G446" s="5">
        <v>5.8</v>
      </c>
      <c r="H446" s="4">
        <f t="shared" si="13"/>
        <v>5.443407306</v>
      </c>
      <c r="I446" s="4">
        <f t="shared" si="14"/>
        <v>4.612869707</v>
      </c>
      <c r="J446" s="4">
        <f t="shared" si="15"/>
        <v>5.028138506</v>
      </c>
      <c r="K446" s="4">
        <f t="shared" si="16"/>
        <v>2.352329952</v>
      </c>
      <c r="L446" s="4">
        <f t="shared" si="17"/>
        <v>2.775862069</v>
      </c>
      <c r="M446" s="4">
        <f t="shared" si="18"/>
        <v>-0.1525767873</v>
      </c>
      <c r="N446" s="3" t="s">
        <v>65</v>
      </c>
    </row>
    <row r="447" ht="15.75" customHeight="1">
      <c r="A447" s="3" t="s">
        <v>64</v>
      </c>
      <c r="B447" s="3">
        <v>6.36678042E8</v>
      </c>
      <c r="C447" s="4">
        <v>41.767</v>
      </c>
      <c r="D447" s="4">
        <v>106.954</v>
      </c>
      <c r="E447" s="4">
        <v>37.157</v>
      </c>
      <c r="F447" s="5">
        <v>16.1</v>
      </c>
      <c r="G447" s="5">
        <v>5.8</v>
      </c>
      <c r="H447" s="4">
        <f t="shared" si="13"/>
        <v>6.287270228</v>
      </c>
      <c r="I447" s="4">
        <f t="shared" si="14"/>
        <v>6.519595231</v>
      </c>
      <c r="J447" s="4">
        <f t="shared" si="15"/>
        <v>6.40343273</v>
      </c>
      <c r="K447" s="4">
        <f t="shared" si="16"/>
        <v>2.87843475</v>
      </c>
      <c r="L447" s="4">
        <f t="shared" si="17"/>
        <v>2.775862069</v>
      </c>
      <c r="M447" s="4">
        <f t="shared" si="18"/>
        <v>0.03695164901</v>
      </c>
      <c r="N447" s="3" t="s">
        <v>65</v>
      </c>
    </row>
    <row r="448" ht="15.75" customHeight="1">
      <c r="A448" s="2" t="s">
        <v>64</v>
      </c>
      <c r="B448" s="3">
        <v>6.13423205E8</v>
      </c>
      <c r="C448" s="4">
        <v>33.515</v>
      </c>
      <c r="D448" s="4">
        <v>89.008</v>
      </c>
      <c r="E448" s="4">
        <v>37.03</v>
      </c>
      <c r="F448" s="5">
        <v>16.1</v>
      </c>
      <c r="G448" s="5">
        <v>5.8</v>
      </c>
      <c r="H448" s="4">
        <f t="shared" si="13"/>
        <v>6.062280919</v>
      </c>
      <c r="I448" s="4">
        <f t="shared" si="14"/>
        <v>5.249446395</v>
      </c>
      <c r="J448" s="4">
        <f t="shared" si="15"/>
        <v>5.655863657</v>
      </c>
      <c r="K448" s="4">
        <f t="shared" si="16"/>
        <v>2.403672698</v>
      </c>
      <c r="L448" s="4">
        <f t="shared" si="17"/>
        <v>2.775862069</v>
      </c>
      <c r="M448" s="4">
        <f t="shared" si="18"/>
        <v>-0.134080643</v>
      </c>
      <c r="N448" s="3" t="s">
        <v>65</v>
      </c>
    </row>
    <row r="449" ht="15.75" customHeight="1">
      <c r="A449" s="6" t="s">
        <v>64</v>
      </c>
      <c r="B449" s="3">
        <v>3.90004491E8</v>
      </c>
      <c r="C449" s="4">
        <v>23.505</v>
      </c>
      <c r="D449" s="4">
        <v>66.889</v>
      </c>
      <c r="E449" s="4">
        <v>30.316</v>
      </c>
      <c r="F449" s="5">
        <v>16.1</v>
      </c>
      <c r="G449" s="5">
        <v>5.8</v>
      </c>
      <c r="H449" s="4">
        <f t="shared" si="13"/>
        <v>5.657589439</v>
      </c>
      <c r="I449" s="4">
        <f t="shared" si="14"/>
        <v>4.496932313</v>
      </c>
      <c r="J449" s="4">
        <f t="shared" si="15"/>
        <v>5.077260876</v>
      </c>
      <c r="K449" s="4">
        <f t="shared" si="16"/>
        <v>2.206392664</v>
      </c>
      <c r="L449" s="4">
        <f t="shared" si="17"/>
        <v>2.775862069</v>
      </c>
      <c r="M449" s="4">
        <f t="shared" si="18"/>
        <v>-0.2051504689</v>
      </c>
      <c r="N449" s="3" t="s">
        <v>65</v>
      </c>
    </row>
    <row r="450" ht="15.75" customHeight="1">
      <c r="A450" s="6" t="s">
        <v>64</v>
      </c>
      <c r="B450" s="3">
        <v>6.5763491E7</v>
      </c>
      <c r="C450" s="4">
        <v>34.022</v>
      </c>
      <c r="D450" s="4">
        <v>85.677</v>
      </c>
      <c r="E450" s="4">
        <v>42.424</v>
      </c>
      <c r="F450" s="5">
        <v>16.1</v>
      </c>
      <c r="G450" s="5">
        <v>5.8</v>
      </c>
      <c r="H450" s="4">
        <f t="shared" si="13"/>
        <v>6.393246729</v>
      </c>
      <c r="I450" s="4">
        <f t="shared" si="14"/>
        <v>4.651320008</v>
      </c>
      <c r="J450" s="4">
        <f t="shared" si="15"/>
        <v>5.522283368</v>
      </c>
      <c r="K450" s="4">
        <f t="shared" si="16"/>
        <v>2.019540826</v>
      </c>
      <c r="L450" s="4">
        <f t="shared" si="17"/>
        <v>2.775862069</v>
      </c>
      <c r="M450" s="4">
        <f t="shared" si="18"/>
        <v>-0.2724635534</v>
      </c>
      <c r="N450" s="3" t="s">
        <v>65</v>
      </c>
    </row>
    <row r="451" ht="15.75" customHeight="1">
      <c r="A451" s="2" t="s">
        <v>64</v>
      </c>
      <c r="B451" s="3">
        <v>6.14148082E8</v>
      </c>
      <c r="C451" s="4">
        <v>39.553</v>
      </c>
      <c r="D451" s="4">
        <v>107.676</v>
      </c>
      <c r="E451" s="4">
        <v>45.401</v>
      </c>
      <c r="F451" s="5">
        <v>16.1</v>
      </c>
      <c r="G451" s="5">
        <v>5.8</v>
      </c>
      <c r="H451" s="4">
        <f t="shared" si="13"/>
        <v>5.914069059</v>
      </c>
      <c r="I451" s="4">
        <f t="shared" si="14"/>
        <v>5.052915134</v>
      </c>
      <c r="J451" s="4">
        <f t="shared" si="15"/>
        <v>5.483492097</v>
      </c>
      <c r="K451" s="4">
        <f t="shared" si="16"/>
        <v>2.371665822</v>
      </c>
      <c r="L451" s="4">
        <f t="shared" si="17"/>
        <v>2.775862069</v>
      </c>
      <c r="M451" s="4">
        <f t="shared" si="18"/>
        <v>-0.1456110702</v>
      </c>
      <c r="N451" s="3" t="s">
        <v>65</v>
      </c>
    </row>
    <row r="452" ht="15.75" customHeight="1">
      <c r="A452" s="6" t="s">
        <v>64</v>
      </c>
      <c r="B452" s="3">
        <v>4.31389241E8</v>
      </c>
      <c r="C452" s="4">
        <v>27.584</v>
      </c>
      <c r="D452" s="4">
        <v>81.25</v>
      </c>
      <c r="E452" s="4">
        <v>36.022</v>
      </c>
      <c r="F452" s="5">
        <v>16.1</v>
      </c>
      <c r="G452" s="5">
        <v>5.8</v>
      </c>
      <c r="H452" s="4">
        <f t="shared" si="13"/>
        <v>5.465875692</v>
      </c>
      <c r="I452" s="4">
        <f t="shared" si="14"/>
        <v>4.441374715</v>
      </c>
      <c r="J452" s="4">
        <f t="shared" si="15"/>
        <v>4.953625204</v>
      </c>
      <c r="K452" s="4">
        <f t="shared" si="16"/>
        <v>2.255566043</v>
      </c>
      <c r="L452" s="4">
        <f t="shared" si="17"/>
        <v>2.775862069</v>
      </c>
      <c r="M452" s="4">
        <f t="shared" si="18"/>
        <v>-0.1874358355</v>
      </c>
      <c r="N452" s="3" t="s">
        <v>65</v>
      </c>
    </row>
    <row r="453" ht="15.75" customHeight="1">
      <c r="A453" s="19" t="s">
        <v>64</v>
      </c>
      <c r="B453" s="8">
        <v>2.04702021E8</v>
      </c>
      <c r="C453" s="9">
        <v>69.406</v>
      </c>
      <c r="D453" s="9">
        <v>206.119</v>
      </c>
      <c r="E453" s="9">
        <v>70.0</v>
      </c>
      <c r="F453" s="5">
        <v>16.1</v>
      </c>
      <c r="G453" s="5">
        <v>5.8</v>
      </c>
      <c r="H453" s="4">
        <f t="shared" si="13"/>
        <v>5.421317782</v>
      </c>
      <c r="I453" s="4">
        <f t="shared" si="14"/>
        <v>5.750782857</v>
      </c>
      <c r="J453" s="4">
        <f t="shared" si="15"/>
        <v>5.58605032</v>
      </c>
      <c r="K453" s="4">
        <f t="shared" si="16"/>
        <v>2.944557143</v>
      </c>
      <c r="L453" s="4">
        <f t="shared" si="17"/>
        <v>2.775862069</v>
      </c>
      <c r="M453" s="4">
        <f t="shared" si="18"/>
        <v>0.06077213842</v>
      </c>
      <c r="N453" s="3" t="s">
        <v>65</v>
      </c>
    </row>
    <row r="454" ht="15.75" customHeight="1">
      <c r="A454" s="3" t="s">
        <v>64</v>
      </c>
      <c r="B454" s="3">
        <v>5.52592611E8</v>
      </c>
      <c r="C454" s="4">
        <v>30.232</v>
      </c>
      <c r="D454" s="4">
        <v>91.624</v>
      </c>
      <c r="E454" s="4">
        <v>36.589</v>
      </c>
      <c r="F454" s="5">
        <v>16.1</v>
      </c>
      <c r="G454" s="5">
        <v>5.8</v>
      </c>
      <c r="H454" s="4">
        <f t="shared" si="13"/>
        <v>5.312311185</v>
      </c>
      <c r="I454" s="4">
        <f t="shared" si="14"/>
        <v>4.792303698</v>
      </c>
      <c r="J454" s="4">
        <f t="shared" si="15"/>
        <v>5.052307441</v>
      </c>
      <c r="K454" s="4">
        <f t="shared" si="16"/>
        <v>2.504140589</v>
      </c>
      <c r="L454" s="4">
        <f t="shared" si="17"/>
        <v>2.775862069</v>
      </c>
      <c r="M454" s="4">
        <f t="shared" si="18"/>
        <v>-0.09788724134</v>
      </c>
      <c r="N454" s="3" t="s">
        <v>65</v>
      </c>
    </row>
    <row r="455" ht="15.75" customHeight="1">
      <c r="A455" s="2" t="s">
        <v>64</v>
      </c>
      <c r="B455" s="3">
        <v>5.17313991E8</v>
      </c>
      <c r="C455" s="4">
        <v>30.923</v>
      </c>
      <c r="D455" s="4">
        <v>103.453</v>
      </c>
      <c r="E455" s="4">
        <v>42.668</v>
      </c>
      <c r="F455" s="5">
        <v>16.1</v>
      </c>
      <c r="G455" s="5">
        <v>5.8</v>
      </c>
      <c r="H455" s="4">
        <f t="shared" si="13"/>
        <v>4.812429799</v>
      </c>
      <c r="I455" s="4">
        <f t="shared" si="14"/>
        <v>4.203463954</v>
      </c>
      <c r="J455" s="4">
        <f t="shared" si="15"/>
        <v>4.507946877</v>
      </c>
      <c r="K455" s="4">
        <f t="shared" si="16"/>
        <v>2.424603919</v>
      </c>
      <c r="L455" s="4">
        <f t="shared" si="17"/>
        <v>2.775862069</v>
      </c>
      <c r="M455" s="4">
        <f t="shared" si="18"/>
        <v>-0.1265402032</v>
      </c>
      <c r="N455" s="3" t="s">
        <v>65</v>
      </c>
    </row>
    <row r="456" ht="15.75" customHeight="1">
      <c r="A456" s="6" t="s">
        <v>64</v>
      </c>
      <c r="B456" s="3">
        <v>5.75229381E8</v>
      </c>
      <c r="C456" s="4">
        <v>29.723</v>
      </c>
      <c r="D456" s="4">
        <v>75.425</v>
      </c>
      <c r="E456" s="4">
        <v>36.203</v>
      </c>
      <c r="F456" s="5">
        <v>16.1</v>
      </c>
      <c r="G456" s="5">
        <v>5.8</v>
      </c>
      <c r="H456" s="4">
        <f t="shared" si="13"/>
        <v>6.344584687</v>
      </c>
      <c r="I456" s="4">
        <f t="shared" si="14"/>
        <v>4.76185399</v>
      </c>
      <c r="J456" s="4">
        <f t="shared" si="15"/>
        <v>5.553219338</v>
      </c>
      <c r="K456" s="4">
        <f t="shared" si="16"/>
        <v>2.083390879</v>
      </c>
      <c r="L456" s="4">
        <f t="shared" si="17"/>
        <v>2.775862069</v>
      </c>
      <c r="M456" s="4">
        <f t="shared" si="18"/>
        <v>-0.2494616708</v>
      </c>
      <c r="N456" s="3" t="s">
        <v>65</v>
      </c>
    </row>
    <row r="457" ht="15.75" customHeight="1">
      <c r="A457" s="19" t="s">
        <v>64</v>
      </c>
      <c r="B457" s="10">
        <v>6.35362914E8</v>
      </c>
      <c r="C457" s="9">
        <v>52.88</v>
      </c>
      <c r="D457" s="9">
        <v>173.051</v>
      </c>
      <c r="E457" s="9">
        <v>64.678</v>
      </c>
      <c r="F457" s="5">
        <v>16.1</v>
      </c>
      <c r="G457" s="5">
        <v>5.8</v>
      </c>
      <c r="H457" s="4">
        <f t="shared" si="13"/>
        <v>4.919751981</v>
      </c>
      <c r="I457" s="4">
        <f t="shared" si="14"/>
        <v>4.742014286</v>
      </c>
      <c r="J457" s="4">
        <f t="shared" si="15"/>
        <v>4.830883133</v>
      </c>
      <c r="K457" s="4">
        <f t="shared" si="16"/>
        <v>2.675577476</v>
      </c>
      <c r="L457" s="4">
        <f t="shared" si="17"/>
        <v>2.775862069</v>
      </c>
      <c r="M457" s="4">
        <f t="shared" si="18"/>
        <v>-0.03612736885</v>
      </c>
      <c r="N457" s="3" t="s">
        <v>65</v>
      </c>
    </row>
    <row r="458" ht="15.75" customHeight="1">
      <c r="A458" s="19" t="s">
        <v>64</v>
      </c>
      <c r="B458" s="10">
        <v>6.14528267E8</v>
      </c>
      <c r="C458" s="9">
        <v>61.16</v>
      </c>
      <c r="D458" s="9">
        <v>197.8</v>
      </c>
      <c r="E458" s="9">
        <v>78.588</v>
      </c>
      <c r="F458" s="5">
        <v>16.1</v>
      </c>
      <c r="G458" s="5">
        <v>5.8</v>
      </c>
      <c r="H458" s="4">
        <f t="shared" si="13"/>
        <v>4.978139535</v>
      </c>
      <c r="I458" s="4">
        <f t="shared" si="14"/>
        <v>4.513768005</v>
      </c>
      <c r="J458" s="4">
        <f t="shared" si="15"/>
        <v>4.74595377</v>
      </c>
      <c r="K458" s="4">
        <f t="shared" si="16"/>
        <v>2.516923703</v>
      </c>
      <c r="L458" s="4">
        <f t="shared" si="17"/>
        <v>2.775862069</v>
      </c>
      <c r="M458" s="4">
        <f t="shared" si="18"/>
        <v>-0.09328214413</v>
      </c>
      <c r="N458" s="3" t="s">
        <v>65</v>
      </c>
    </row>
    <row r="459" ht="15.75" customHeight="1">
      <c r="A459" s="19" t="s">
        <v>64</v>
      </c>
      <c r="B459" s="8">
        <v>6.49655458E8</v>
      </c>
      <c r="C459" s="9">
        <v>46.0</v>
      </c>
      <c r="D459" s="9">
        <v>145.008</v>
      </c>
      <c r="E459" s="9">
        <v>53.509</v>
      </c>
      <c r="F459" s="5">
        <v>16.1</v>
      </c>
      <c r="G459" s="5">
        <v>5.8</v>
      </c>
      <c r="H459" s="4">
        <f t="shared" si="13"/>
        <v>5.107304425</v>
      </c>
      <c r="I459" s="4">
        <f t="shared" si="14"/>
        <v>4.986077109</v>
      </c>
      <c r="J459" s="4">
        <f t="shared" si="15"/>
        <v>5.046690767</v>
      </c>
      <c r="K459" s="4">
        <f t="shared" si="16"/>
        <v>2.709974023</v>
      </c>
      <c r="L459" s="4">
        <f t="shared" si="17"/>
        <v>2.775862069</v>
      </c>
      <c r="M459" s="4">
        <f t="shared" si="18"/>
        <v>-0.02373606623</v>
      </c>
      <c r="N459" s="3" t="s">
        <v>65</v>
      </c>
    </row>
    <row r="460" ht="15.75" customHeight="1">
      <c r="A460" s="19" t="s">
        <v>64</v>
      </c>
      <c r="B460" s="10">
        <v>6.45878346E8</v>
      </c>
      <c r="C460" s="9">
        <v>81.222</v>
      </c>
      <c r="D460" s="9">
        <v>235.359</v>
      </c>
      <c r="E460" s="9">
        <v>94.005</v>
      </c>
      <c r="F460" s="5">
        <v>16.1</v>
      </c>
      <c r="G460" s="5">
        <v>5.8</v>
      </c>
      <c r="H460" s="4">
        <f t="shared" si="13"/>
        <v>5.55608326</v>
      </c>
      <c r="I460" s="4">
        <f t="shared" si="14"/>
        <v>5.011303654</v>
      </c>
      <c r="J460" s="4">
        <f t="shared" si="15"/>
        <v>5.283693457</v>
      </c>
      <c r="K460" s="4">
        <f t="shared" si="16"/>
        <v>2.503685974</v>
      </c>
      <c r="L460" s="4">
        <f t="shared" si="17"/>
        <v>2.775862069</v>
      </c>
      <c r="M460" s="4">
        <f t="shared" si="18"/>
        <v>-0.09805101552</v>
      </c>
      <c r="N460" s="3" t="s">
        <v>65</v>
      </c>
    </row>
    <row r="461" ht="15.75" customHeight="1">
      <c r="A461" s="19" t="s">
        <v>64</v>
      </c>
      <c r="B461" s="10">
        <v>5.1019401E7</v>
      </c>
      <c r="C461" s="9">
        <v>56.303</v>
      </c>
      <c r="D461" s="9">
        <v>153.236</v>
      </c>
      <c r="E461" s="9">
        <v>61.589</v>
      </c>
      <c r="F461" s="5">
        <v>16.1</v>
      </c>
      <c r="G461" s="5">
        <v>5.8</v>
      </c>
      <c r="H461" s="4">
        <f t="shared" si="13"/>
        <v>5.915570101</v>
      </c>
      <c r="I461" s="4">
        <f t="shared" si="14"/>
        <v>5.302203316</v>
      </c>
      <c r="J461" s="4">
        <f t="shared" si="15"/>
        <v>5.608886708</v>
      </c>
      <c r="K461" s="4">
        <f t="shared" si="16"/>
        <v>2.488041696</v>
      </c>
      <c r="L461" s="4">
        <f t="shared" si="17"/>
        <v>2.775862069</v>
      </c>
      <c r="M461" s="4">
        <f t="shared" si="18"/>
        <v>-0.1036868425</v>
      </c>
      <c r="N461" s="3" t="s">
        <v>65</v>
      </c>
    </row>
    <row r="462" ht="15.75" customHeight="1">
      <c r="A462" s="3" t="s">
        <v>66</v>
      </c>
      <c r="B462" s="3">
        <v>6.37764088E8</v>
      </c>
      <c r="C462" s="4">
        <v>35.88</v>
      </c>
      <c r="D462" s="4">
        <v>155.76</v>
      </c>
      <c r="E462" s="4">
        <v>57.136</v>
      </c>
      <c r="F462" s="5">
        <v>24.5</v>
      </c>
      <c r="G462" s="5">
        <v>8.3</v>
      </c>
      <c r="H462" s="4">
        <f t="shared" si="13"/>
        <v>5.643682589</v>
      </c>
      <c r="I462" s="4">
        <f t="shared" si="14"/>
        <v>5.212195463</v>
      </c>
      <c r="J462" s="4">
        <f t="shared" si="15"/>
        <v>5.427939026</v>
      </c>
      <c r="K462" s="4">
        <f t="shared" si="16"/>
        <v>2.726127135</v>
      </c>
      <c r="L462" s="4">
        <f t="shared" si="17"/>
        <v>2.951807229</v>
      </c>
      <c r="M462" s="4">
        <f t="shared" si="18"/>
        <v>-0.07645488887</v>
      </c>
      <c r="N462" s="3" t="s">
        <v>67</v>
      </c>
    </row>
    <row r="463" ht="15.75" customHeight="1">
      <c r="A463" s="3" t="s">
        <v>66</v>
      </c>
      <c r="B463" s="3">
        <v>6.31712649E8</v>
      </c>
      <c r="C463" s="4">
        <v>30.627</v>
      </c>
      <c r="D463" s="4">
        <v>116.307</v>
      </c>
      <c r="E463" s="4">
        <v>41.651</v>
      </c>
      <c r="F463" s="5">
        <v>24.5</v>
      </c>
      <c r="G463" s="5">
        <v>8.3</v>
      </c>
      <c r="H463" s="4">
        <f t="shared" si="13"/>
        <v>6.451559235</v>
      </c>
      <c r="I463" s="4">
        <f t="shared" si="14"/>
        <v>6.103193201</v>
      </c>
      <c r="J463" s="4">
        <f t="shared" si="15"/>
        <v>6.277376218</v>
      </c>
      <c r="K463" s="4">
        <f t="shared" si="16"/>
        <v>2.792417949</v>
      </c>
      <c r="L463" s="4">
        <f t="shared" si="17"/>
        <v>2.951807229</v>
      </c>
      <c r="M463" s="4">
        <f t="shared" si="18"/>
        <v>-0.05399718457</v>
      </c>
      <c r="N463" s="3" t="s">
        <v>67</v>
      </c>
    </row>
    <row r="464" ht="15.75" customHeight="1">
      <c r="A464" s="3" t="s">
        <v>66</v>
      </c>
      <c r="B464" s="3">
        <v>1.35725561E8</v>
      </c>
      <c r="C464" s="4">
        <v>33.08</v>
      </c>
      <c r="D464" s="4">
        <v>170.649</v>
      </c>
      <c r="E464" s="4">
        <v>62.757</v>
      </c>
      <c r="F464" s="5">
        <v>24.5</v>
      </c>
      <c r="G464" s="5">
        <v>8.3</v>
      </c>
      <c r="H464" s="4">
        <f t="shared" si="13"/>
        <v>4.749280687</v>
      </c>
      <c r="I464" s="4">
        <f t="shared" si="14"/>
        <v>4.375033861</v>
      </c>
      <c r="J464" s="4">
        <f t="shared" si="15"/>
        <v>4.562157274</v>
      </c>
      <c r="K464" s="4">
        <f t="shared" si="16"/>
        <v>2.719202639</v>
      </c>
      <c r="L464" s="4">
        <f t="shared" si="17"/>
        <v>2.951807229</v>
      </c>
      <c r="M464" s="4">
        <f t="shared" si="18"/>
        <v>-0.07880073871</v>
      </c>
      <c r="N464" s="3" t="s">
        <v>67</v>
      </c>
    </row>
    <row r="465" ht="15.75" customHeight="1">
      <c r="A465" s="3" t="s">
        <v>66</v>
      </c>
      <c r="B465" s="3">
        <v>6.15430765E8</v>
      </c>
      <c r="C465" s="4">
        <v>28.453</v>
      </c>
      <c r="D465" s="4">
        <v>130.309</v>
      </c>
      <c r="E465" s="4">
        <v>45.335</v>
      </c>
      <c r="F465" s="5">
        <v>24.5</v>
      </c>
      <c r="G465" s="5">
        <v>8.3</v>
      </c>
      <c r="H465" s="4">
        <f t="shared" si="13"/>
        <v>5.349580612</v>
      </c>
      <c r="I465" s="4">
        <f t="shared" si="14"/>
        <v>5.209218043</v>
      </c>
      <c r="J465" s="4">
        <f t="shared" si="15"/>
        <v>5.279399328</v>
      </c>
      <c r="K465" s="4">
        <f t="shared" si="16"/>
        <v>2.87435756</v>
      </c>
      <c r="L465" s="4">
        <f t="shared" si="17"/>
        <v>2.951807229</v>
      </c>
      <c r="M465" s="4">
        <f t="shared" si="18"/>
        <v>-0.02623805097</v>
      </c>
      <c r="N465" s="3" t="s">
        <v>67</v>
      </c>
    </row>
    <row r="466" ht="15.75" customHeight="1">
      <c r="A466" s="6" t="s">
        <v>66</v>
      </c>
      <c r="B466" s="3">
        <v>6.32094553E8</v>
      </c>
      <c r="C466" s="4">
        <v>32.067</v>
      </c>
      <c r="D466" s="4">
        <v>117.616</v>
      </c>
      <c r="E466" s="4">
        <v>49.026</v>
      </c>
      <c r="F466" s="5">
        <v>24.5</v>
      </c>
      <c r="G466" s="5">
        <v>8.3</v>
      </c>
      <c r="H466" s="4">
        <f t="shared" si="13"/>
        <v>6.679716195</v>
      </c>
      <c r="I466" s="4">
        <f t="shared" si="14"/>
        <v>5.428876515</v>
      </c>
      <c r="J466" s="4">
        <f t="shared" si="15"/>
        <v>6.054296355</v>
      </c>
      <c r="K466" s="4">
        <f t="shared" si="16"/>
        <v>2.399053563</v>
      </c>
      <c r="L466" s="4">
        <f t="shared" si="17"/>
        <v>2.951807229</v>
      </c>
      <c r="M466" s="4">
        <f t="shared" si="18"/>
        <v>-0.187259405</v>
      </c>
      <c r="N466" s="3" t="s">
        <v>67</v>
      </c>
    </row>
    <row r="467" ht="15.75" customHeight="1">
      <c r="A467" s="3" t="s">
        <v>66</v>
      </c>
      <c r="B467" s="3">
        <v>2.21737621E8</v>
      </c>
      <c r="C467" s="4">
        <v>30.562</v>
      </c>
      <c r="D467" s="4">
        <v>134.478</v>
      </c>
      <c r="E467" s="4">
        <v>46.923</v>
      </c>
      <c r="F467" s="5">
        <v>24.5</v>
      </c>
      <c r="G467" s="5">
        <v>8.3</v>
      </c>
      <c r="H467" s="4">
        <f t="shared" si="13"/>
        <v>5.567966508</v>
      </c>
      <c r="I467" s="4">
        <f t="shared" si="14"/>
        <v>5.405975748</v>
      </c>
      <c r="J467" s="4">
        <f t="shared" si="15"/>
        <v>5.486971128</v>
      </c>
      <c r="K467" s="4">
        <f t="shared" si="16"/>
        <v>2.865929288</v>
      </c>
      <c r="L467" s="4">
        <f t="shared" si="17"/>
        <v>2.951807229</v>
      </c>
      <c r="M467" s="4">
        <f t="shared" si="18"/>
        <v>-0.02909334311</v>
      </c>
      <c r="N467" s="3" t="s">
        <v>67</v>
      </c>
    </row>
    <row r="468" ht="15.75" customHeight="1">
      <c r="A468" s="3" t="s">
        <v>66</v>
      </c>
      <c r="B468" s="3">
        <v>4.97708311E8</v>
      </c>
      <c r="C468" s="4">
        <v>29.65</v>
      </c>
      <c r="D468" s="4">
        <v>126.402</v>
      </c>
      <c r="E468" s="4">
        <v>46.786</v>
      </c>
      <c r="F468" s="5">
        <v>24.5</v>
      </c>
      <c r="G468" s="5">
        <v>8.3</v>
      </c>
      <c r="H468" s="4">
        <f t="shared" si="13"/>
        <v>5.746942295</v>
      </c>
      <c r="I468" s="4">
        <f t="shared" si="14"/>
        <v>5.260013679</v>
      </c>
      <c r="J468" s="4">
        <f t="shared" si="15"/>
        <v>5.503477987</v>
      </c>
      <c r="K468" s="4">
        <f t="shared" si="16"/>
        <v>2.701705638</v>
      </c>
      <c r="L468" s="4">
        <f t="shared" si="17"/>
        <v>2.951807229</v>
      </c>
      <c r="M468" s="4">
        <f t="shared" si="18"/>
        <v>-0.08472829392</v>
      </c>
      <c r="N468" s="3" t="s">
        <v>67</v>
      </c>
    </row>
    <row r="469" ht="15.75" customHeight="1">
      <c r="A469" s="3" t="s">
        <v>66</v>
      </c>
      <c r="B469" s="3">
        <v>1.61925641E8</v>
      </c>
      <c r="C469" s="4">
        <v>29.877</v>
      </c>
      <c r="D469" s="4">
        <v>129.113</v>
      </c>
      <c r="E469" s="4">
        <v>47.07</v>
      </c>
      <c r="F469" s="5">
        <v>24.5</v>
      </c>
      <c r="G469" s="5">
        <v>8.3</v>
      </c>
      <c r="H469" s="4">
        <f t="shared" si="13"/>
        <v>5.669347781</v>
      </c>
      <c r="I469" s="4">
        <f t="shared" si="14"/>
        <v>5.268304653</v>
      </c>
      <c r="J469" s="4">
        <f t="shared" si="15"/>
        <v>5.468826217</v>
      </c>
      <c r="K469" s="4">
        <f t="shared" si="16"/>
        <v>2.742999788</v>
      </c>
      <c r="L469" s="4">
        <f t="shared" si="17"/>
        <v>2.951807229</v>
      </c>
      <c r="M469" s="4">
        <f t="shared" si="18"/>
        <v>-0.07073884748</v>
      </c>
      <c r="N469" s="3" t="s">
        <v>67</v>
      </c>
    </row>
    <row r="470" ht="15.75" customHeight="1">
      <c r="A470" s="3" t="s">
        <v>66</v>
      </c>
      <c r="B470" s="3">
        <v>5.92492821E8</v>
      </c>
      <c r="C470" s="4">
        <v>37.558</v>
      </c>
      <c r="D470" s="4">
        <v>138.492</v>
      </c>
      <c r="E470" s="4">
        <v>43.829</v>
      </c>
      <c r="F470" s="5">
        <v>24.5</v>
      </c>
      <c r="G470" s="5">
        <v>8.3</v>
      </c>
      <c r="H470" s="4">
        <f t="shared" si="13"/>
        <v>6.644217717</v>
      </c>
      <c r="I470" s="4">
        <f t="shared" si="14"/>
        <v>7.112446097</v>
      </c>
      <c r="J470" s="4">
        <f t="shared" si="15"/>
        <v>6.878331907</v>
      </c>
      <c r="K470" s="4">
        <f t="shared" si="16"/>
        <v>3.159825686</v>
      </c>
      <c r="L470" s="4">
        <f t="shared" si="17"/>
        <v>2.951807229</v>
      </c>
      <c r="M470" s="4">
        <f t="shared" si="18"/>
        <v>0.07047155899</v>
      </c>
      <c r="N470" s="3" t="s">
        <v>67</v>
      </c>
    </row>
    <row r="471" ht="15.75" customHeight="1">
      <c r="A471" s="3" t="s">
        <v>66</v>
      </c>
      <c r="B471" s="3">
        <v>6.39138853E8</v>
      </c>
      <c r="C471" s="4">
        <v>20.01</v>
      </c>
      <c r="D471" s="4">
        <v>85.467</v>
      </c>
      <c r="E471" s="4">
        <v>30.229</v>
      </c>
      <c r="F471" s="5">
        <v>24.5</v>
      </c>
      <c r="G471" s="5">
        <v>8.3</v>
      </c>
      <c r="H471" s="4">
        <f t="shared" si="13"/>
        <v>5.736073572</v>
      </c>
      <c r="I471" s="4">
        <f t="shared" si="14"/>
        <v>5.494161236</v>
      </c>
      <c r="J471" s="4">
        <f t="shared" si="15"/>
        <v>5.615117404</v>
      </c>
      <c r="K471" s="4">
        <f t="shared" si="16"/>
        <v>2.827318138</v>
      </c>
      <c r="L471" s="4">
        <f t="shared" si="17"/>
        <v>2.951807229</v>
      </c>
      <c r="M471" s="4">
        <f t="shared" si="18"/>
        <v>-0.04217385522</v>
      </c>
      <c r="N471" s="3" t="s">
        <v>67</v>
      </c>
    </row>
    <row r="472" ht="15.75" customHeight="1">
      <c r="A472" s="3" t="s">
        <v>66</v>
      </c>
      <c r="B472" s="3">
        <v>2.18624281E8</v>
      </c>
      <c r="C472" s="4">
        <v>39.618</v>
      </c>
      <c r="D472" s="4">
        <v>150.826</v>
      </c>
      <c r="E472" s="4">
        <v>57.211</v>
      </c>
      <c r="F472" s="5">
        <v>24.5</v>
      </c>
      <c r="G472" s="5">
        <v>8.3</v>
      </c>
      <c r="H472" s="4">
        <f t="shared" si="13"/>
        <v>6.435501837</v>
      </c>
      <c r="I472" s="4">
        <f t="shared" si="14"/>
        <v>5.747660415</v>
      </c>
      <c r="J472" s="4">
        <f t="shared" si="15"/>
        <v>6.091581126</v>
      </c>
      <c r="K472" s="4">
        <f t="shared" si="16"/>
        <v>2.636311199</v>
      </c>
      <c r="L472" s="4">
        <f t="shared" si="17"/>
        <v>2.951807229</v>
      </c>
      <c r="M472" s="4">
        <f t="shared" si="18"/>
        <v>-0.1068823285</v>
      </c>
      <c r="N472" s="3" t="s">
        <v>67</v>
      </c>
    </row>
    <row r="473" ht="15.75" customHeight="1">
      <c r="A473" s="2" t="s">
        <v>66</v>
      </c>
      <c r="B473" s="3">
        <v>4.31746701E8</v>
      </c>
      <c r="C473" s="4">
        <v>33.877</v>
      </c>
      <c r="D473" s="4">
        <v>129.524</v>
      </c>
      <c r="E473" s="4">
        <v>49.944</v>
      </c>
      <c r="F473" s="5">
        <v>24.5</v>
      </c>
      <c r="G473" s="5">
        <v>8.3</v>
      </c>
      <c r="H473" s="4">
        <f t="shared" si="13"/>
        <v>6.407974584</v>
      </c>
      <c r="I473" s="4">
        <f t="shared" si="14"/>
        <v>5.629887474</v>
      </c>
      <c r="J473" s="4">
        <f t="shared" si="15"/>
        <v>6.018931029</v>
      </c>
      <c r="K473" s="4">
        <f t="shared" si="16"/>
        <v>2.593384591</v>
      </c>
      <c r="L473" s="4">
        <f t="shared" si="17"/>
        <v>2.951807229</v>
      </c>
      <c r="M473" s="4">
        <f t="shared" si="18"/>
        <v>-0.1214248121</v>
      </c>
      <c r="N473" s="3" t="s">
        <v>67</v>
      </c>
    </row>
    <row r="474" ht="15.75" customHeight="1">
      <c r="A474" s="2" t="s">
        <v>66</v>
      </c>
      <c r="B474" s="3">
        <v>2.41719771E8</v>
      </c>
      <c r="C474" s="4">
        <v>32.334</v>
      </c>
      <c r="D474" s="4">
        <v>129.031</v>
      </c>
      <c r="E474" s="4">
        <v>49.375</v>
      </c>
      <c r="F474" s="5">
        <v>24.5</v>
      </c>
      <c r="G474" s="5">
        <v>8.3</v>
      </c>
      <c r="H474" s="4">
        <f t="shared" si="13"/>
        <v>6.13947811</v>
      </c>
      <c r="I474" s="4">
        <f t="shared" si="14"/>
        <v>5.435386329</v>
      </c>
      <c r="J474" s="4">
        <f t="shared" si="15"/>
        <v>5.78743222</v>
      </c>
      <c r="K474" s="4">
        <f t="shared" si="16"/>
        <v>2.613286076</v>
      </c>
      <c r="L474" s="4">
        <f t="shared" si="17"/>
        <v>2.951807229</v>
      </c>
      <c r="M474" s="4">
        <f t="shared" si="18"/>
        <v>-0.1146826763</v>
      </c>
      <c r="N474" s="3" t="s">
        <v>67</v>
      </c>
    </row>
    <row r="475" ht="15.75" customHeight="1">
      <c r="A475" s="3" t="s">
        <v>68</v>
      </c>
      <c r="B475" s="3">
        <v>3.34507601E8</v>
      </c>
      <c r="C475" s="4">
        <v>32.872</v>
      </c>
      <c r="D475" s="4">
        <v>80.723</v>
      </c>
      <c r="E475" s="4">
        <v>30.832</v>
      </c>
      <c r="F475" s="5">
        <v>9.2</v>
      </c>
      <c r="G475" s="5">
        <v>3.4</v>
      </c>
      <c r="H475" s="4">
        <f t="shared" si="13"/>
        <v>3.746421714</v>
      </c>
      <c r="I475" s="4">
        <f t="shared" si="14"/>
        <v>3.624961079</v>
      </c>
      <c r="J475" s="4">
        <f t="shared" si="15"/>
        <v>3.685691397</v>
      </c>
      <c r="K475" s="4">
        <f t="shared" si="16"/>
        <v>2.618156461</v>
      </c>
      <c r="L475" s="4">
        <f t="shared" si="17"/>
        <v>2.705882353</v>
      </c>
      <c r="M475" s="4">
        <f t="shared" si="18"/>
        <v>-0.03242043839</v>
      </c>
      <c r="N475" s="3" t="s">
        <v>69</v>
      </c>
    </row>
    <row r="476" ht="15.75" customHeight="1">
      <c r="A476" s="3" t="s">
        <v>68</v>
      </c>
      <c r="B476" s="3">
        <v>6.140999E8</v>
      </c>
      <c r="C476" s="4">
        <v>32.655</v>
      </c>
      <c r="D476" s="4">
        <v>89.756</v>
      </c>
      <c r="E476" s="4">
        <v>31.674</v>
      </c>
      <c r="F476" s="5">
        <v>9.2</v>
      </c>
      <c r="G476" s="5">
        <v>3.4</v>
      </c>
      <c r="H476" s="4">
        <f t="shared" si="13"/>
        <v>3.347141138</v>
      </c>
      <c r="I476" s="4">
        <f t="shared" si="14"/>
        <v>3.505304035</v>
      </c>
      <c r="J476" s="4">
        <f t="shared" si="15"/>
        <v>3.426222587</v>
      </c>
      <c r="K476" s="4">
        <f t="shared" si="16"/>
        <v>2.833743765</v>
      </c>
      <c r="L476" s="4">
        <f t="shared" si="17"/>
        <v>2.705882353</v>
      </c>
      <c r="M476" s="4">
        <f t="shared" si="18"/>
        <v>0.0472531304</v>
      </c>
      <c r="N476" s="3" t="s">
        <v>69</v>
      </c>
    </row>
    <row r="477" ht="15.75" customHeight="1">
      <c r="A477" s="3" t="s">
        <v>68</v>
      </c>
      <c r="B477" s="3">
        <v>5.82805621E8</v>
      </c>
      <c r="C477" s="4">
        <v>36.705</v>
      </c>
      <c r="D477" s="4">
        <v>102.7</v>
      </c>
      <c r="E477" s="4">
        <v>36.662</v>
      </c>
      <c r="F477" s="5">
        <v>9.2</v>
      </c>
      <c r="G477" s="5">
        <v>3.4</v>
      </c>
      <c r="H477" s="4">
        <f t="shared" si="13"/>
        <v>3.288081792</v>
      </c>
      <c r="I477" s="4">
        <f t="shared" si="14"/>
        <v>3.40398778</v>
      </c>
      <c r="J477" s="4">
        <f t="shared" si="15"/>
        <v>3.346034786</v>
      </c>
      <c r="K477" s="4">
        <f t="shared" si="16"/>
        <v>2.801265616</v>
      </c>
      <c r="L477" s="4">
        <f t="shared" si="17"/>
        <v>2.705882353</v>
      </c>
      <c r="M477" s="4">
        <f t="shared" si="18"/>
        <v>0.03525033621</v>
      </c>
      <c r="N477" s="3" t="s">
        <v>69</v>
      </c>
    </row>
    <row r="478" ht="15.75" customHeight="1">
      <c r="A478" s="3" t="s">
        <v>68</v>
      </c>
      <c r="B478" s="3">
        <v>2.95123471E8</v>
      </c>
      <c r="C478" s="4">
        <v>30.306</v>
      </c>
      <c r="D478" s="4">
        <v>84.271</v>
      </c>
      <c r="E478" s="4">
        <v>31.259</v>
      </c>
      <c r="F478" s="5">
        <v>9.2</v>
      </c>
      <c r="G478" s="5">
        <v>3.4</v>
      </c>
      <c r="H478" s="4">
        <f t="shared" si="13"/>
        <v>3.308554544</v>
      </c>
      <c r="I478" s="4">
        <f t="shared" si="14"/>
        <v>3.296343453</v>
      </c>
      <c r="J478" s="4">
        <f t="shared" si="15"/>
        <v>3.302448999</v>
      </c>
      <c r="K478" s="4">
        <f t="shared" si="16"/>
        <v>2.695895582</v>
      </c>
      <c r="L478" s="4">
        <f t="shared" si="17"/>
        <v>2.705882353</v>
      </c>
      <c r="M478" s="4">
        <f t="shared" si="18"/>
        <v>-0.003690763147</v>
      </c>
      <c r="N478" s="3" t="s">
        <v>69</v>
      </c>
    </row>
    <row r="479" ht="15.75" customHeight="1">
      <c r="A479" s="3" t="s">
        <v>68</v>
      </c>
      <c r="B479" s="3">
        <v>6.30164865E8</v>
      </c>
      <c r="C479" s="4">
        <v>36.459</v>
      </c>
      <c r="D479" s="4">
        <v>96.628</v>
      </c>
      <c r="E479" s="4">
        <v>36.53</v>
      </c>
      <c r="F479" s="5">
        <v>9.2</v>
      </c>
      <c r="G479" s="5">
        <v>3.4</v>
      </c>
      <c r="H479" s="4">
        <f t="shared" si="13"/>
        <v>3.471279546</v>
      </c>
      <c r="I479" s="4">
        <f t="shared" si="14"/>
        <v>3.393391733</v>
      </c>
      <c r="J479" s="4">
        <f t="shared" si="15"/>
        <v>3.43233564</v>
      </c>
      <c r="K479" s="4">
        <f t="shared" si="16"/>
        <v>2.645168355</v>
      </c>
      <c r="L479" s="4">
        <f t="shared" si="17"/>
        <v>2.705882353</v>
      </c>
      <c r="M479" s="4">
        <f t="shared" si="18"/>
        <v>-0.02243778193</v>
      </c>
      <c r="N479" s="3" t="s">
        <v>69</v>
      </c>
    </row>
    <row r="480" ht="15.75" customHeight="1">
      <c r="A480" s="3" t="s">
        <v>68</v>
      </c>
      <c r="B480" s="3">
        <v>6.44198115E8</v>
      </c>
      <c r="C480" s="4">
        <v>39.403</v>
      </c>
      <c r="D480" s="4">
        <v>107.023</v>
      </c>
      <c r="E480" s="4">
        <v>43.942</v>
      </c>
      <c r="F480" s="5">
        <v>9.2</v>
      </c>
      <c r="G480" s="5">
        <v>3.4</v>
      </c>
      <c r="H480" s="4">
        <f t="shared" si="13"/>
        <v>3.387193407</v>
      </c>
      <c r="I480" s="4">
        <f t="shared" si="14"/>
        <v>3.04879614</v>
      </c>
      <c r="J480" s="4">
        <f t="shared" si="15"/>
        <v>3.217994774</v>
      </c>
      <c r="K480" s="4">
        <f t="shared" si="16"/>
        <v>2.435551409</v>
      </c>
      <c r="L480" s="4">
        <f t="shared" si="17"/>
        <v>2.705882353</v>
      </c>
      <c r="M480" s="4">
        <f t="shared" si="18"/>
        <v>-0.09990491419</v>
      </c>
      <c r="N480" s="3" t="s">
        <v>69</v>
      </c>
    </row>
    <row r="481" ht="15.75" customHeight="1">
      <c r="A481" s="3" t="s">
        <v>68</v>
      </c>
      <c r="B481" s="3">
        <v>5.05356781E8</v>
      </c>
      <c r="C481" s="4">
        <v>46.246</v>
      </c>
      <c r="D481" s="4">
        <v>105.642</v>
      </c>
      <c r="E481" s="4">
        <v>38.471</v>
      </c>
      <c r="F481" s="5">
        <v>9.2</v>
      </c>
      <c r="G481" s="5">
        <v>3.4</v>
      </c>
      <c r="H481" s="4">
        <f t="shared" si="13"/>
        <v>4.027405767</v>
      </c>
      <c r="I481" s="4">
        <f t="shared" si="14"/>
        <v>4.087140963</v>
      </c>
      <c r="J481" s="4">
        <f t="shared" si="15"/>
        <v>4.057273365</v>
      </c>
      <c r="K481" s="4">
        <f t="shared" si="16"/>
        <v>2.74601648</v>
      </c>
      <c r="L481" s="4">
        <f t="shared" si="17"/>
        <v>2.705882353</v>
      </c>
      <c r="M481" s="4">
        <f t="shared" si="18"/>
        <v>0.01483217737</v>
      </c>
      <c r="N481" s="3" t="s">
        <v>69</v>
      </c>
    </row>
    <row r="482" ht="15.75" customHeight="1">
      <c r="A482" s="3" t="s">
        <v>68</v>
      </c>
      <c r="B482" s="3">
        <v>2.0822821E7</v>
      </c>
      <c r="C482" s="4">
        <v>37.042</v>
      </c>
      <c r="D482" s="4">
        <v>104.001</v>
      </c>
      <c r="E482" s="4">
        <v>40.034</v>
      </c>
      <c r="F482" s="5">
        <v>9.2</v>
      </c>
      <c r="G482" s="5">
        <v>3.4</v>
      </c>
      <c r="H482" s="4">
        <f t="shared" si="13"/>
        <v>3.2767608</v>
      </c>
      <c r="I482" s="4">
        <f t="shared" si="14"/>
        <v>3.145895988</v>
      </c>
      <c r="J482" s="4">
        <f t="shared" si="15"/>
        <v>3.211328394</v>
      </c>
      <c r="K482" s="4">
        <f t="shared" si="16"/>
        <v>2.597816856</v>
      </c>
      <c r="L482" s="4">
        <f t="shared" si="17"/>
        <v>2.705882353</v>
      </c>
      <c r="M482" s="4">
        <f t="shared" si="18"/>
        <v>-0.03993724899</v>
      </c>
      <c r="N482" s="3" t="s">
        <v>69</v>
      </c>
    </row>
    <row r="483" ht="15.75" customHeight="1">
      <c r="A483" s="3" t="s">
        <v>68</v>
      </c>
      <c r="B483" s="3">
        <v>3.34497731E8</v>
      </c>
      <c r="C483" s="4">
        <v>35.198</v>
      </c>
      <c r="D483" s="4">
        <v>95.142</v>
      </c>
      <c r="E483" s="4">
        <v>36.644</v>
      </c>
      <c r="F483" s="5">
        <v>9.2</v>
      </c>
      <c r="G483" s="5">
        <v>3.4</v>
      </c>
      <c r="H483" s="4">
        <f t="shared" si="13"/>
        <v>3.403560993</v>
      </c>
      <c r="I483" s="4">
        <f t="shared" si="14"/>
        <v>3.265833424</v>
      </c>
      <c r="J483" s="4">
        <f t="shared" si="15"/>
        <v>3.334697209</v>
      </c>
      <c r="K483" s="4">
        <f t="shared" si="16"/>
        <v>2.596386857</v>
      </c>
      <c r="L483" s="4">
        <f t="shared" si="17"/>
        <v>2.705882353</v>
      </c>
      <c r="M483" s="4">
        <f t="shared" si="18"/>
        <v>-0.04046572664</v>
      </c>
      <c r="N483" s="3" t="s">
        <v>69</v>
      </c>
    </row>
    <row r="484" ht="15.75" customHeight="1">
      <c r="A484" s="6" t="s">
        <v>68</v>
      </c>
      <c r="B484" s="6">
        <v>6.03911601E8</v>
      </c>
      <c r="C484" s="4">
        <v>22.923</v>
      </c>
      <c r="D484" s="4">
        <v>57.259</v>
      </c>
      <c r="E484" s="4">
        <v>25.255</v>
      </c>
      <c r="F484" s="5">
        <v>9.2</v>
      </c>
      <c r="G484" s="5">
        <v>3.4</v>
      </c>
      <c r="H484" s="4">
        <f t="shared" si="13"/>
        <v>3.683117065</v>
      </c>
      <c r="I484" s="4">
        <f t="shared" si="14"/>
        <v>3.086050287</v>
      </c>
      <c r="J484" s="4">
        <f t="shared" si="15"/>
        <v>3.384583676</v>
      </c>
      <c r="K484" s="4">
        <f t="shared" si="16"/>
        <v>2.267234211</v>
      </c>
      <c r="L484" s="4">
        <f t="shared" si="17"/>
        <v>2.705882353</v>
      </c>
      <c r="M484" s="4">
        <f t="shared" si="18"/>
        <v>-0.1621090959</v>
      </c>
      <c r="N484" s="3" t="s">
        <v>69</v>
      </c>
    </row>
    <row r="485" ht="15.75" customHeight="1">
      <c r="A485" s="3" t="s">
        <v>68</v>
      </c>
      <c r="B485" s="3">
        <v>6.10652886E8</v>
      </c>
      <c r="C485" s="4">
        <v>36.24</v>
      </c>
      <c r="D485" s="4">
        <v>103.415</v>
      </c>
      <c r="E485" s="4">
        <v>39.08</v>
      </c>
      <c r="F485" s="5">
        <v>9.2</v>
      </c>
      <c r="G485" s="5">
        <v>3.4</v>
      </c>
      <c r="H485" s="4">
        <f t="shared" si="13"/>
        <v>3.223981047</v>
      </c>
      <c r="I485" s="4">
        <f t="shared" si="14"/>
        <v>3.152917093</v>
      </c>
      <c r="J485" s="4">
        <f t="shared" si="15"/>
        <v>3.18844907</v>
      </c>
      <c r="K485" s="4">
        <f t="shared" si="16"/>
        <v>2.646238485</v>
      </c>
      <c r="L485" s="4">
        <f t="shared" si="17"/>
        <v>2.705882353</v>
      </c>
      <c r="M485" s="4">
        <f t="shared" si="18"/>
        <v>-0.02204229896</v>
      </c>
      <c r="N485" s="3" t="s">
        <v>69</v>
      </c>
    </row>
    <row r="486" ht="15.75" customHeight="1">
      <c r="A486" s="3" t="s">
        <v>68</v>
      </c>
      <c r="B486" s="3">
        <v>6.22574536E8</v>
      </c>
      <c r="C486" s="4">
        <v>42.312</v>
      </c>
      <c r="D486" s="4">
        <v>102.192</v>
      </c>
      <c r="E486" s="4">
        <v>38.685</v>
      </c>
      <c r="F486" s="5">
        <v>9.2</v>
      </c>
      <c r="G486" s="5">
        <v>3.4</v>
      </c>
      <c r="H486" s="4">
        <f t="shared" si="13"/>
        <v>3.8092062</v>
      </c>
      <c r="I486" s="4">
        <f t="shared" si="14"/>
        <v>3.718774719</v>
      </c>
      <c r="J486" s="4">
        <f t="shared" si="15"/>
        <v>3.763990459</v>
      </c>
      <c r="K486" s="4">
        <f t="shared" si="16"/>
        <v>2.641644048</v>
      </c>
      <c r="L486" s="4">
        <f t="shared" si="17"/>
        <v>2.705882353</v>
      </c>
      <c r="M486" s="4">
        <f t="shared" si="18"/>
        <v>-0.0237402431</v>
      </c>
      <c r="N486" s="3" t="s">
        <v>69</v>
      </c>
    </row>
    <row r="487" ht="15.75" customHeight="1">
      <c r="A487" s="3" t="s">
        <v>68</v>
      </c>
      <c r="B487" s="3">
        <v>6.29544371E8</v>
      </c>
      <c r="C487" s="4">
        <v>32.052</v>
      </c>
      <c r="D487" s="4">
        <v>84.039</v>
      </c>
      <c r="E487" s="4">
        <v>29.98</v>
      </c>
      <c r="F487" s="5">
        <v>9.2</v>
      </c>
      <c r="G487" s="5">
        <v>3.4</v>
      </c>
      <c r="H487" s="4">
        <f t="shared" si="13"/>
        <v>3.508828044</v>
      </c>
      <c r="I487" s="4">
        <f t="shared" si="14"/>
        <v>3.634983322</v>
      </c>
      <c r="J487" s="4">
        <f t="shared" si="15"/>
        <v>3.571905683</v>
      </c>
      <c r="K487" s="4">
        <f t="shared" si="16"/>
        <v>2.803168779</v>
      </c>
      <c r="L487" s="4">
        <f t="shared" si="17"/>
        <v>2.705882353</v>
      </c>
      <c r="M487" s="4">
        <f t="shared" si="18"/>
        <v>0.03595367926</v>
      </c>
      <c r="N487" s="3" t="s">
        <v>69</v>
      </c>
    </row>
    <row r="488" ht="15.75" customHeight="1">
      <c r="A488" s="3" t="s">
        <v>68</v>
      </c>
      <c r="B488" s="3">
        <v>6.47133882E8</v>
      </c>
      <c r="C488" s="4">
        <v>37.796</v>
      </c>
      <c r="D488" s="4">
        <v>102.536</v>
      </c>
      <c r="E488" s="4">
        <v>38.552</v>
      </c>
      <c r="F488" s="5">
        <v>9.2</v>
      </c>
      <c r="G488" s="5">
        <v>3.4</v>
      </c>
      <c r="H488" s="4">
        <f t="shared" si="13"/>
        <v>3.391230397</v>
      </c>
      <c r="I488" s="4">
        <f t="shared" si="14"/>
        <v>3.333326416</v>
      </c>
      <c r="J488" s="4">
        <f t="shared" si="15"/>
        <v>3.362278407</v>
      </c>
      <c r="K488" s="4">
        <f t="shared" si="16"/>
        <v>2.659680432</v>
      </c>
      <c r="L488" s="4">
        <f t="shared" si="17"/>
        <v>2.705882353</v>
      </c>
      <c r="M488" s="4">
        <f t="shared" si="18"/>
        <v>-0.0170746231</v>
      </c>
      <c r="N488" s="3" t="s">
        <v>69</v>
      </c>
    </row>
    <row r="489" ht="15.75" customHeight="1">
      <c r="A489" s="3" t="s">
        <v>70</v>
      </c>
      <c r="B489" s="3">
        <v>4.00368491E8</v>
      </c>
      <c r="C489" s="4">
        <v>37.454</v>
      </c>
      <c r="D489" s="4">
        <v>69.212</v>
      </c>
      <c r="E489" s="4">
        <v>29.372</v>
      </c>
      <c r="F489" s="5">
        <v>9.9</v>
      </c>
      <c r="G489" s="5">
        <v>3.9</v>
      </c>
      <c r="H489" s="4">
        <f t="shared" si="13"/>
        <v>5.357374444</v>
      </c>
      <c r="I489" s="4">
        <f t="shared" si="14"/>
        <v>4.973124064</v>
      </c>
      <c r="J489" s="4">
        <f t="shared" si="15"/>
        <v>5.165249254</v>
      </c>
      <c r="K489" s="4">
        <f t="shared" si="16"/>
        <v>2.356393844</v>
      </c>
      <c r="L489" s="4">
        <f t="shared" si="17"/>
        <v>2.538461538</v>
      </c>
      <c r="M489" s="4">
        <f t="shared" si="18"/>
        <v>-0.07172363702</v>
      </c>
      <c r="N489" s="3" t="s">
        <v>71</v>
      </c>
    </row>
    <row r="490" ht="15.75" customHeight="1">
      <c r="A490" s="3" t="s">
        <v>70</v>
      </c>
      <c r="B490" s="3">
        <v>2.90079181E8</v>
      </c>
      <c r="C490" s="4">
        <v>36.522</v>
      </c>
      <c r="D490" s="4">
        <v>93.519</v>
      </c>
      <c r="E490" s="4">
        <v>37.574</v>
      </c>
      <c r="F490" s="5">
        <v>9.9</v>
      </c>
      <c r="G490" s="5">
        <v>3.9</v>
      </c>
      <c r="H490" s="4">
        <f t="shared" si="13"/>
        <v>3.866249639</v>
      </c>
      <c r="I490" s="4">
        <f t="shared" si="14"/>
        <v>3.790807473</v>
      </c>
      <c r="J490" s="4">
        <f t="shared" si="15"/>
        <v>3.828528556</v>
      </c>
      <c r="K490" s="4">
        <f t="shared" si="16"/>
        <v>2.488928514</v>
      </c>
      <c r="L490" s="4">
        <f t="shared" si="17"/>
        <v>2.538461538</v>
      </c>
      <c r="M490" s="4">
        <f t="shared" si="18"/>
        <v>-0.01951300948</v>
      </c>
      <c r="N490" s="3" t="s">
        <v>71</v>
      </c>
    </row>
    <row r="491" ht="15.75" customHeight="1">
      <c r="A491" s="3" t="s">
        <v>70</v>
      </c>
      <c r="B491" s="3">
        <v>4.49881011E8</v>
      </c>
      <c r="C491" s="4">
        <v>44.847</v>
      </c>
      <c r="D491" s="4">
        <v>78.832</v>
      </c>
      <c r="E491" s="4">
        <v>33.989</v>
      </c>
      <c r="F491" s="5">
        <v>9.9</v>
      </c>
      <c r="G491" s="5">
        <v>3.9</v>
      </c>
      <c r="H491" s="4">
        <f t="shared" si="13"/>
        <v>5.632044094</v>
      </c>
      <c r="I491" s="4">
        <f t="shared" si="14"/>
        <v>5.145879549</v>
      </c>
      <c r="J491" s="4">
        <f t="shared" si="15"/>
        <v>5.388961822</v>
      </c>
      <c r="K491" s="4">
        <f t="shared" si="16"/>
        <v>2.31933861</v>
      </c>
      <c r="L491" s="4">
        <f t="shared" si="17"/>
        <v>2.538461538</v>
      </c>
      <c r="M491" s="4">
        <f t="shared" si="18"/>
        <v>-0.08632115381</v>
      </c>
      <c r="N491" s="3" t="s">
        <v>71</v>
      </c>
    </row>
    <row r="492" ht="15.75" customHeight="1">
      <c r="A492" s="3" t="s">
        <v>70</v>
      </c>
      <c r="B492" s="3">
        <v>4.79919691E8</v>
      </c>
      <c r="C492" s="4">
        <v>46.884</v>
      </c>
      <c r="D492" s="4">
        <v>90.716</v>
      </c>
      <c r="E492" s="4">
        <v>36.388</v>
      </c>
      <c r="F492" s="5">
        <v>9.9</v>
      </c>
      <c r="G492" s="5">
        <v>3.9</v>
      </c>
      <c r="H492" s="4">
        <f t="shared" si="13"/>
        <v>5.116535121</v>
      </c>
      <c r="I492" s="4">
        <f t="shared" si="14"/>
        <v>5.024942289</v>
      </c>
      <c r="J492" s="4">
        <f t="shared" si="15"/>
        <v>5.070738705</v>
      </c>
      <c r="K492" s="4">
        <f t="shared" si="16"/>
        <v>2.493019677</v>
      </c>
      <c r="L492" s="4">
        <f t="shared" si="17"/>
        <v>2.538461538</v>
      </c>
      <c r="M492" s="4">
        <f t="shared" si="18"/>
        <v>-0.01790133944</v>
      </c>
      <c r="N492" s="3" t="s">
        <v>71</v>
      </c>
    </row>
    <row r="493" ht="15.75" customHeight="1">
      <c r="A493" s="3" t="s">
        <v>70</v>
      </c>
      <c r="B493" s="3">
        <v>4.18049641E8</v>
      </c>
      <c r="C493" s="4">
        <v>57.897</v>
      </c>
      <c r="D493" s="4">
        <v>105.278</v>
      </c>
      <c r="E493" s="4">
        <v>45.054</v>
      </c>
      <c r="F493" s="5">
        <v>9.9</v>
      </c>
      <c r="G493" s="5">
        <v>3.9</v>
      </c>
      <c r="H493" s="4">
        <f t="shared" si="13"/>
        <v>5.444445183</v>
      </c>
      <c r="I493" s="4">
        <f t="shared" si="14"/>
        <v>5.011725929</v>
      </c>
      <c r="J493" s="4">
        <f t="shared" si="15"/>
        <v>5.228085556</v>
      </c>
      <c r="K493" s="4">
        <f t="shared" si="16"/>
        <v>2.336707063</v>
      </c>
      <c r="L493" s="4">
        <f t="shared" si="17"/>
        <v>2.538461538</v>
      </c>
      <c r="M493" s="4">
        <f t="shared" si="18"/>
        <v>-0.07947903593</v>
      </c>
      <c r="N493" s="3" t="s">
        <v>71</v>
      </c>
    </row>
    <row r="494" ht="15.75" customHeight="1">
      <c r="A494" s="3" t="s">
        <v>70</v>
      </c>
      <c r="B494" s="3">
        <v>5.81094011E8</v>
      </c>
      <c r="C494" s="4">
        <v>45.15</v>
      </c>
      <c r="D494" s="4">
        <v>83.789</v>
      </c>
      <c r="E494" s="4">
        <v>34.681</v>
      </c>
      <c r="F494" s="5">
        <v>9.9</v>
      </c>
      <c r="G494" s="5">
        <v>3.9</v>
      </c>
      <c r="H494" s="4">
        <f t="shared" si="13"/>
        <v>5.334650133</v>
      </c>
      <c r="I494" s="4">
        <f t="shared" si="14"/>
        <v>5.077275742</v>
      </c>
      <c r="J494" s="4">
        <f t="shared" si="15"/>
        <v>5.205962937</v>
      </c>
      <c r="K494" s="4">
        <f t="shared" si="16"/>
        <v>2.415991465</v>
      </c>
      <c r="L494" s="4">
        <f t="shared" si="17"/>
        <v>2.538461538</v>
      </c>
      <c r="M494" s="4">
        <f t="shared" si="18"/>
        <v>-0.04824578649</v>
      </c>
      <c r="N494" s="3" t="s">
        <v>71</v>
      </c>
    </row>
    <row r="495" ht="15.75" customHeight="1">
      <c r="A495" s="3" t="s">
        <v>70</v>
      </c>
      <c r="B495" s="3">
        <v>6.43179371E8</v>
      </c>
      <c r="C495" s="4">
        <v>52.834</v>
      </c>
      <c r="D495" s="4">
        <v>100.864</v>
      </c>
      <c r="E495" s="4">
        <v>37.765</v>
      </c>
      <c r="F495" s="5">
        <v>9.9</v>
      </c>
      <c r="G495" s="5">
        <v>3.9</v>
      </c>
      <c r="H495" s="4">
        <f t="shared" si="13"/>
        <v>5.185761025</v>
      </c>
      <c r="I495" s="4">
        <f t="shared" si="14"/>
        <v>5.456179002</v>
      </c>
      <c r="J495" s="4">
        <f t="shared" si="15"/>
        <v>5.320970013</v>
      </c>
      <c r="K495" s="4">
        <f t="shared" si="16"/>
        <v>2.670832782</v>
      </c>
      <c r="L495" s="4">
        <f t="shared" si="17"/>
        <v>2.538461538</v>
      </c>
      <c r="M495" s="4">
        <f t="shared" si="18"/>
        <v>0.05214624733</v>
      </c>
      <c r="N495" s="3" t="s">
        <v>71</v>
      </c>
    </row>
    <row r="496" ht="15.75" customHeight="1">
      <c r="A496" s="3" t="s">
        <v>70</v>
      </c>
      <c r="B496" s="3">
        <v>6.45786277E8</v>
      </c>
      <c r="C496" s="4">
        <v>45.898</v>
      </c>
      <c r="D496" s="4">
        <v>85.048</v>
      </c>
      <c r="E496" s="4">
        <v>36.225</v>
      </c>
      <c r="F496" s="5">
        <v>9.9</v>
      </c>
      <c r="G496" s="5">
        <v>3.9</v>
      </c>
      <c r="H496" s="4">
        <f t="shared" si="13"/>
        <v>5.342749976</v>
      </c>
      <c r="I496" s="4">
        <f t="shared" si="14"/>
        <v>4.941399586</v>
      </c>
      <c r="J496" s="4">
        <f t="shared" si="15"/>
        <v>5.142074781</v>
      </c>
      <c r="K496" s="4">
        <f t="shared" si="16"/>
        <v>2.347770876</v>
      </c>
      <c r="L496" s="4">
        <f t="shared" si="17"/>
        <v>2.538461538</v>
      </c>
      <c r="M496" s="4">
        <f t="shared" si="18"/>
        <v>-0.07512056382</v>
      </c>
      <c r="N496" s="3" t="s">
        <v>71</v>
      </c>
    </row>
    <row r="497" ht="15.75" customHeight="1">
      <c r="A497" s="3" t="s">
        <v>70</v>
      </c>
      <c r="B497" s="3">
        <v>5.98326251E8</v>
      </c>
      <c r="C497" s="4">
        <v>50.111</v>
      </c>
      <c r="D497" s="4">
        <v>86.503</v>
      </c>
      <c r="E497" s="4">
        <v>37.253</v>
      </c>
      <c r="F497" s="5">
        <v>9.9</v>
      </c>
      <c r="G497" s="5">
        <v>3.9</v>
      </c>
      <c r="H497" s="4">
        <f t="shared" si="13"/>
        <v>5.735048495</v>
      </c>
      <c r="I497" s="4">
        <f t="shared" si="14"/>
        <v>5.246098301</v>
      </c>
      <c r="J497" s="4">
        <f t="shared" si="15"/>
        <v>5.490573398</v>
      </c>
      <c r="K497" s="4">
        <f t="shared" si="16"/>
        <v>2.322041178</v>
      </c>
      <c r="L497" s="4">
        <f t="shared" si="17"/>
        <v>2.538461538</v>
      </c>
      <c r="M497" s="4">
        <f t="shared" si="18"/>
        <v>-0.08525650568</v>
      </c>
      <c r="N497" s="3" t="s">
        <v>71</v>
      </c>
    </row>
    <row r="498" ht="15.75" customHeight="1">
      <c r="A498" s="3" t="s">
        <v>70</v>
      </c>
      <c r="B498" s="3">
        <v>2.90079191E8</v>
      </c>
      <c r="C498" s="4">
        <v>49.177</v>
      </c>
      <c r="D498" s="4">
        <v>96.78</v>
      </c>
      <c r="E498" s="4">
        <v>36.522</v>
      </c>
      <c r="F498" s="5">
        <v>9.9</v>
      </c>
      <c r="G498" s="5">
        <v>3.9</v>
      </c>
      <c r="H498" s="4">
        <f t="shared" si="13"/>
        <v>5.03050527</v>
      </c>
      <c r="I498" s="4">
        <f t="shared" si="14"/>
        <v>5.251363562</v>
      </c>
      <c r="J498" s="4">
        <f t="shared" si="15"/>
        <v>5.140934416</v>
      </c>
      <c r="K498" s="4">
        <f t="shared" si="16"/>
        <v>2.649909644</v>
      </c>
      <c r="L498" s="4">
        <f t="shared" si="17"/>
        <v>2.538461538</v>
      </c>
      <c r="M498" s="4">
        <f t="shared" si="18"/>
        <v>0.04390379896</v>
      </c>
      <c r="N498" s="3" t="s">
        <v>71</v>
      </c>
    </row>
    <row r="499" ht="15.75" customHeight="1">
      <c r="A499" s="3" t="s">
        <v>70</v>
      </c>
      <c r="B499" s="3">
        <v>3.02275701E8</v>
      </c>
      <c r="C499" s="4">
        <v>46.115</v>
      </c>
      <c r="D499" s="4">
        <v>90.158</v>
      </c>
      <c r="E499" s="4">
        <v>35.971</v>
      </c>
      <c r="F499" s="5">
        <v>9.9</v>
      </c>
      <c r="G499" s="5">
        <v>3.9</v>
      </c>
      <c r="H499" s="4">
        <f t="shared" si="13"/>
        <v>5.063760287</v>
      </c>
      <c r="I499" s="4">
        <f t="shared" si="14"/>
        <v>4.999819299</v>
      </c>
      <c r="J499" s="4">
        <f t="shared" si="15"/>
        <v>5.031789793</v>
      </c>
      <c r="K499" s="4">
        <f t="shared" si="16"/>
        <v>2.50640794</v>
      </c>
      <c r="L499" s="4">
        <f t="shared" si="17"/>
        <v>2.538461538</v>
      </c>
      <c r="M499" s="4">
        <f t="shared" si="18"/>
        <v>-0.01262717526</v>
      </c>
      <c r="N499" s="3" t="s">
        <v>71</v>
      </c>
    </row>
    <row r="500" ht="15.75" customHeight="1">
      <c r="A500" s="3" t="s">
        <v>70</v>
      </c>
      <c r="B500" s="3">
        <v>1.17153441E8</v>
      </c>
      <c r="C500" s="4">
        <v>40.44</v>
      </c>
      <c r="D500" s="4">
        <v>78.27</v>
      </c>
      <c r="E500" s="4">
        <v>31.025</v>
      </c>
      <c r="F500" s="5">
        <v>9.9</v>
      </c>
      <c r="G500" s="5">
        <v>3.9</v>
      </c>
      <c r="H500" s="4">
        <f t="shared" si="13"/>
        <v>5.115063243</v>
      </c>
      <c r="I500" s="4">
        <f t="shared" si="14"/>
        <v>5.083513296</v>
      </c>
      <c r="J500" s="4">
        <f t="shared" si="15"/>
        <v>5.099288269</v>
      </c>
      <c r="K500" s="4">
        <f t="shared" si="16"/>
        <v>2.52280419</v>
      </c>
      <c r="L500" s="4">
        <f t="shared" si="17"/>
        <v>2.538461538</v>
      </c>
      <c r="M500" s="4">
        <f t="shared" si="18"/>
        <v>-0.006168046297</v>
      </c>
      <c r="N500" s="3" t="s">
        <v>71</v>
      </c>
    </row>
    <row r="501" ht="15.75" customHeight="1">
      <c r="A501" s="3" t="s">
        <v>70</v>
      </c>
      <c r="B501" s="3">
        <v>5.1405461E7</v>
      </c>
      <c r="C501" s="4">
        <v>49.504</v>
      </c>
      <c r="D501" s="4">
        <v>91.38</v>
      </c>
      <c r="E501" s="4">
        <v>40.257</v>
      </c>
      <c r="F501" s="5">
        <v>9.9</v>
      </c>
      <c r="G501" s="5">
        <v>3.9</v>
      </c>
      <c r="H501" s="4">
        <f t="shared" si="13"/>
        <v>5.363204202</v>
      </c>
      <c r="I501" s="4">
        <f t="shared" si="14"/>
        <v>4.795826813</v>
      </c>
      <c r="J501" s="4">
        <f t="shared" si="15"/>
        <v>5.079515507</v>
      </c>
      <c r="K501" s="4">
        <f t="shared" si="16"/>
        <v>2.269915791</v>
      </c>
      <c r="L501" s="4">
        <f t="shared" si="17"/>
        <v>2.538461538</v>
      </c>
      <c r="M501" s="4">
        <f t="shared" si="18"/>
        <v>-0.105790749</v>
      </c>
      <c r="N501" s="3" t="s">
        <v>71</v>
      </c>
    </row>
    <row r="502" ht="15.75" customHeight="1">
      <c r="A502" s="3" t="s">
        <v>70</v>
      </c>
      <c r="B502" s="3">
        <v>6.26845721E8</v>
      </c>
      <c r="C502" s="4">
        <v>46.328</v>
      </c>
      <c r="D502" s="4">
        <v>91.22</v>
      </c>
      <c r="E502" s="4">
        <v>39.566</v>
      </c>
      <c r="F502" s="5">
        <v>9.9</v>
      </c>
      <c r="G502" s="5">
        <v>3.9</v>
      </c>
      <c r="H502" s="4">
        <f t="shared" si="13"/>
        <v>5.027923701</v>
      </c>
      <c r="I502" s="4">
        <f t="shared" si="14"/>
        <v>4.566526816</v>
      </c>
      <c r="J502" s="4">
        <f t="shared" si="15"/>
        <v>4.797225258</v>
      </c>
      <c r="K502" s="4">
        <f t="shared" si="16"/>
        <v>2.305514836</v>
      </c>
      <c r="L502" s="4">
        <f t="shared" si="17"/>
        <v>2.538461538</v>
      </c>
      <c r="M502" s="4">
        <f t="shared" si="18"/>
        <v>-0.0917668828</v>
      </c>
      <c r="N502" s="3" t="s">
        <v>71</v>
      </c>
    </row>
    <row r="503" ht="15.75" customHeight="1">
      <c r="A503" s="3" t="s">
        <v>70</v>
      </c>
      <c r="B503" s="3">
        <v>4.80146511E8</v>
      </c>
      <c r="C503" s="4">
        <v>42.273</v>
      </c>
      <c r="D503" s="4">
        <v>76.456</v>
      </c>
      <c r="E503" s="4">
        <v>31.072</v>
      </c>
      <c r="F503" s="5">
        <v>9.9</v>
      </c>
      <c r="G503" s="5">
        <v>3.9</v>
      </c>
      <c r="H503" s="4">
        <f t="shared" si="13"/>
        <v>5.473771843</v>
      </c>
      <c r="I503" s="4">
        <f t="shared" si="14"/>
        <v>5.305892765</v>
      </c>
      <c r="J503" s="4">
        <f t="shared" si="15"/>
        <v>5.389832304</v>
      </c>
      <c r="K503" s="4">
        <f t="shared" si="16"/>
        <v>2.460607621</v>
      </c>
      <c r="L503" s="4">
        <f t="shared" si="17"/>
        <v>2.538461538</v>
      </c>
      <c r="M503" s="4">
        <f t="shared" si="18"/>
        <v>-0.03066972506</v>
      </c>
      <c r="N503" s="3" t="s">
        <v>71</v>
      </c>
    </row>
    <row r="504" ht="15.75" customHeight="1">
      <c r="A504" s="2" t="s">
        <v>72</v>
      </c>
      <c r="B504" s="3">
        <v>6.27202932E8</v>
      </c>
      <c r="C504" s="4">
        <v>29.788</v>
      </c>
      <c r="D504" s="4">
        <v>69.785</v>
      </c>
      <c r="E504" s="4">
        <v>56.671</v>
      </c>
      <c r="F504" s="5">
        <v>20.9</v>
      </c>
      <c r="G504" s="5">
        <v>14.8</v>
      </c>
      <c r="H504" s="4">
        <f t="shared" si="13"/>
        <v>8.921246686</v>
      </c>
      <c r="I504" s="4">
        <f t="shared" si="14"/>
        <v>7.779329816</v>
      </c>
      <c r="J504" s="4">
        <f t="shared" si="15"/>
        <v>8.350288251</v>
      </c>
      <c r="K504" s="4">
        <f t="shared" si="16"/>
        <v>1.231405834</v>
      </c>
      <c r="L504" s="4">
        <f t="shared" si="17"/>
        <v>1.412162162</v>
      </c>
      <c r="M504" s="4">
        <f t="shared" si="18"/>
        <v>-0.1279996967</v>
      </c>
      <c r="N504" s="3" t="s">
        <v>73</v>
      </c>
    </row>
    <row r="505" ht="15.75" customHeight="1">
      <c r="A505" s="3" t="s">
        <v>72</v>
      </c>
      <c r="B505" s="3">
        <v>6.30314774E8</v>
      </c>
      <c r="C505" s="4">
        <v>33.668</v>
      </c>
      <c r="D505" s="4">
        <v>87.181</v>
      </c>
      <c r="E505" s="4">
        <v>63.043</v>
      </c>
      <c r="F505" s="5">
        <v>20.9</v>
      </c>
      <c r="G505" s="5">
        <v>14.8</v>
      </c>
      <c r="H505" s="4">
        <f t="shared" si="13"/>
        <v>8.071267822</v>
      </c>
      <c r="I505" s="4">
        <f t="shared" si="14"/>
        <v>7.903913202</v>
      </c>
      <c r="J505" s="4">
        <f t="shared" si="15"/>
        <v>7.987590512</v>
      </c>
      <c r="K505" s="4">
        <f t="shared" si="16"/>
        <v>1.382881525</v>
      </c>
      <c r="L505" s="4">
        <f t="shared" si="17"/>
        <v>1.412162162</v>
      </c>
      <c r="M505" s="4">
        <f t="shared" si="18"/>
        <v>-0.02073461366</v>
      </c>
      <c r="N505" s="3" t="s">
        <v>73</v>
      </c>
    </row>
    <row r="506" ht="15.75" customHeight="1">
      <c r="A506" s="3" t="s">
        <v>72</v>
      </c>
      <c r="B506" s="3">
        <v>2.05758211E8</v>
      </c>
      <c r="C506" s="4">
        <v>27.707</v>
      </c>
      <c r="D506" s="4">
        <v>72.173</v>
      </c>
      <c r="E506" s="4">
        <v>56.004</v>
      </c>
      <c r="F506" s="5">
        <v>20.9</v>
      </c>
      <c r="G506" s="5">
        <v>14.8</v>
      </c>
      <c r="H506" s="4">
        <f t="shared" si="13"/>
        <v>8.023447827</v>
      </c>
      <c r="I506" s="4">
        <f t="shared" si="14"/>
        <v>7.322041283</v>
      </c>
      <c r="J506" s="4">
        <f t="shared" si="15"/>
        <v>7.672744555</v>
      </c>
      <c r="K506" s="4">
        <f t="shared" si="16"/>
        <v>1.288711521</v>
      </c>
      <c r="L506" s="4">
        <f t="shared" si="17"/>
        <v>1.412162162</v>
      </c>
      <c r="M506" s="4">
        <f t="shared" si="18"/>
        <v>-0.08741959306</v>
      </c>
      <c r="N506" s="3" t="s">
        <v>73</v>
      </c>
    </row>
    <row r="507" ht="15.75" customHeight="1">
      <c r="A507" s="3" t="s">
        <v>72</v>
      </c>
      <c r="B507" s="3">
        <v>4.79372021E8</v>
      </c>
      <c r="C507" s="4">
        <v>34.581</v>
      </c>
      <c r="D507" s="4">
        <v>89.721</v>
      </c>
      <c r="E507" s="4">
        <v>68.84</v>
      </c>
      <c r="F507" s="5">
        <v>20.9</v>
      </c>
      <c r="G507" s="5">
        <v>14.8</v>
      </c>
      <c r="H507" s="4">
        <f t="shared" si="13"/>
        <v>8.055448557</v>
      </c>
      <c r="I507" s="4">
        <f t="shared" si="14"/>
        <v>7.434613597</v>
      </c>
      <c r="J507" s="4">
        <f t="shared" si="15"/>
        <v>7.745031077</v>
      </c>
      <c r="K507" s="4">
        <f t="shared" si="16"/>
        <v>1.303326554</v>
      </c>
      <c r="L507" s="4">
        <f t="shared" si="17"/>
        <v>1.412162162</v>
      </c>
      <c r="M507" s="4">
        <f t="shared" si="18"/>
        <v>-0.07707019119</v>
      </c>
      <c r="N507" s="3" t="s">
        <v>73</v>
      </c>
    </row>
    <row r="508" ht="15.75" customHeight="1">
      <c r="A508" s="6" t="s">
        <v>72</v>
      </c>
      <c r="B508" s="3">
        <v>6.4439629E8</v>
      </c>
      <c r="C508" s="4">
        <v>35.147</v>
      </c>
      <c r="D508" s="4">
        <v>71.275</v>
      </c>
      <c r="E508" s="4">
        <v>59.559</v>
      </c>
      <c r="F508" s="5">
        <v>20.9</v>
      </c>
      <c r="G508" s="5">
        <v>14.8</v>
      </c>
      <c r="H508" s="4">
        <f t="shared" si="13"/>
        <v>10.30617047</v>
      </c>
      <c r="I508" s="4">
        <f t="shared" si="14"/>
        <v>8.733786665</v>
      </c>
      <c r="J508" s="4">
        <f t="shared" si="15"/>
        <v>9.519978566</v>
      </c>
      <c r="K508" s="4">
        <f t="shared" si="16"/>
        <v>1.196712504</v>
      </c>
      <c r="L508" s="4">
        <f t="shared" si="17"/>
        <v>1.412162162</v>
      </c>
      <c r="M508" s="4">
        <f t="shared" si="18"/>
        <v>-0.1525672224</v>
      </c>
      <c r="N508" s="3" t="s">
        <v>73</v>
      </c>
    </row>
    <row r="509" ht="15.75" customHeight="1">
      <c r="A509" s="3" t="s">
        <v>72</v>
      </c>
      <c r="B509" s="3">
        <v>711219.0</v>
      </c>
      <c r="C509" s="4">
        <v>33.007</v>
      </c>
      <c r="D509" s="4">
        <v>89.654</v>
      </c>
      <c r="E509" s="4">
        <v>71.028</v>
      </c>
      <c r="F509" s="5">
        <v>20.9</v>
      </c>
      <c r="G509" s="5">
        <v>14.8</v>
      </c>
      <c r="H509" s="4">
        <f t="shared" si="13"/>
        <v>7.694540121</v>
      </c>
      <c r="I509" s="4">
        <f t="shared" si="14"/>
        <v>6.877620093</v>
      </c>
      <c r="J509" s="4">
        <f t="shared" si="15"/>
        <v>7.286080107</v>
      </c>
      <c r="K509" s="4">
        <f t="shared" si="16"/>
        <v>1.262234612</v>
      </c>
      <c r="L509" s="4">
        <f t="shared" si="17"/>
        <v>1.412162162</v>
      </c>
      <c r="M509" s="4">
        <f t="shared" si="18"/>
        <v>-0.1061687917</v>
      </c>
      <c r="N509" s="3" t="s">
        <v>73</v>
      </c>
    </row>
    <row r="510" ht="15.75" customHeight="1">
      <c r="A510" s="3" t="s">
        <v>72</v>
      </c>
      <c r="B510" s="3">
        <v>2.52973771E8</v>
      </c>
      <c r="C510" s="4">
        <v>30.183</v>
      </c>
      <c r="D510" s="4">
        <v>78.0</v>
      </c>
      <c r="E510" s="4">
        <v>59.06</v>
      </c>
      <c r="F510" s="5">
        <v>20.9</v>
      </c>
      <c r="G510" s="5">
        <v>14.8</v>
      </c>
      <c r="H510" s="4">
        <f t="shared" si="13"/>
        <v>8.087496154</v>
      </c>
      <c r="I510" s="4">
        <f t="shared" si="14"/>
        <v>7.563636979</v>
      </c>
      <c r="J510" s="4">
        <f t="shared" si="15"/>
        <v>7.825566567</v>
      </c>
      <c r="K510" s="4">
        <f t="shared" si="16"/>
        <v>1.320690823</v>
      </c>
      <c r="L510" s="4">
        <f t="shared" si="17"/>
        <v>1.412162162</v>
      </c>
      <c r="M510" s="4">
        <f t="shared" si="18"/>
        <v>-0.06477396274</v>
      </c>
      <c r="N510" s="3" t="s">
        <v>73</v>
      </c>
    </row>
    <row r="511" ht="15.75" customHeight="1">
      <c r="A511" s="3" t="s">
        <v>72</v>
      </c>
      <c r="B511" s="3">
        <v>6.33467715E8</v>
      </c>
      <c r="C511" s="4">
        <v>33.258</v>
      </c>
      <c r="D511" s="4">
        <v>82.528</v>
      </c>
      <c r="E511" s="4">
        <v>60.392</v>
      </c>
      <c r="F511" s="5">
        <v>20.9</v>
      </c>
      <c r="G511" s="5">
        <v>14.8</v>
      </c>
      <c r="H511" s="4">
        <f t="shared" si="13"/>
        <v>8.422501454</v>
      </c>
      <c r="I511" s="4">
        <f t="shared" si="14"/>
        <v>8.15039078</v>
      </c>
      <c r="J511" s="4">
        <f t="shared" si="15"/>
        <v>8.286446117</v>
      </c>
      <c r="K511" s="4">
        <f t="shared" si="16"/>
        <v>1.366538614</v>
      </c>
      <c r="L511" s="4">
        <f t="shared" si="17"/>
        <v>1.412162162</v>
      </c>
      <c r="M511" s="4">
        <f t="shared" si="18"/>
        <v>-0.03230758407</v>
      </c>
      <c r="N511" s="3" t="s">
        <v>73</v>
      </c>
    </row>
    <row r="512" ht="15.75" customHeight="1">
      <c r="A512" s="3" t="s">
        <v>72</v>
      </c>
      <c r="B512" s="3">
        <v>6.1492857E8</v>
      </c>
      <c r="C512" s="4">
        <v>43.021</v>
      </c>
      <c r="D512" s="4">
        <v>105.766</v>
      </c>
      <c r="E512" s="4">
        <v>78.857</v>
      </c>
      <c r="F512" s="5">
        <v>20.9</v>
      </c>
      <c r="G512" s="5">
        <v>14.8</v>
      </c>
      <c r="H512" s="4">
        <f t="shared" si="13"/>
        <v>8.501209273</v>
      </c>
      <c r="I512" s="4">
        <f t="shared" si="14"/>
        <v>8.074245787</v>
      </c>
      <c r="J512" s="4">
        <f t="shared" si="15"/>
        <v>8.28772753</v>
      </c>
      <c r="K512" s="4">
        <f t="shared" si="16"/>
        <v>1.341237937</v>
      </c>
      <c r="L512" s="4">
        <f t="shared" si="17"/>
        <v>1.412162162</v>
      </c>
      <c r="M512" s="4">
        <f t="shared" si="18"/>
        <v>-0.05022385321</v>
      </c>
      <c r="N512" s="3" t="s">
        <v>73</v>
      </c>
    </row>
    <row r="513" ht="15.75" customHeight="1">
      <c r="A513" s="2" t="s">
        <v>72</v>
      </c>
      <c r="B513" s="3">
        <v>1.91807221E8</v>
      </c>
      <c r="C513" s="4">
        <v>32.374</v>
      </c>
      <c r="D513" s="4">
        <v>79.197</v>
      </c>
      <c r="E513" s="4">
        <v>63.667</v>
      </c>
      <c r="F513" s="5">
        <v>20.9</v>
      </c>
      <c r="G513" s="5">
        <v>14.8</v>
      </c>
      <c r="H513" s="4">
        <f t="shared" si="13"/>
        <v>8.543462505</v>
      </c>
      <c r="I513" s="4">
        <f t="shared" si="14"/>
        <v>7.525644368</v>
      </c>
      <c r="J513" s="4">
        <f t="shared" si="15"/>
        <v>8.034553437</v>
      </c>
      <c r="K513" s="4">
        <f t="shared" si="16"/>
        <v>1.243925424</v>
      </c>
      <c r="L513" s="4">
        <f t="shared" si="17"/>
        <v>1.412162162</v>
      </c>
      <c r="M513" s="4">
        <f t="shared" si="18"/>
        <v>-0.1191341492</v>
      </c>
      <c r="N513" s="3" t="s">
        <v>73</v>
      </c>
    </row>
    <row r="514" ht="15.75" customHeight="1">
      <c r="A514" s="3" t="s">
        <v>72</v>
      </c>
      <c r="B514" s="3">
        <v>1.45582391E8</v>
      </c>
      <c r="C514" s="4">
        <v>49.328</v>
      </c>
      <c r="D514" s="4">
        <v>111.087</v>
      </c>
      <c r="E514" s="4">
        <v>84.524</v>
      </c>
      <c r="F514" s="5">
        <v>20.9</v>
      </c>
      <c r="G514" s="5">
        <v>14.8</v>
      </c>
      <c r="H514" s="4">
        <f t="shared" si="13"/>
        <v>9.280610693</v>
      </c>
      <c r="I514" s="4">
        <f t="shared" si="14"/>
        <v>8.63724386</v>
      </c>
      <c r="J514" s="4">
        <f t="shared" si="15"/>
        <v>8.958927276</v>
      </c>
      <c r="K514" s="4">
        <f t="shared" si="16"/>
        <v>1.314265771</v>
      </c>
      <c r="L514" s="4">
        <f t="shared" si="17"/>
        <v>1.412162162</v>
      </c>
      <c r="M514" s="4">
        <f t="shared" si="18"/>
        <v>-0.06932376048</v>
      </c>
      <c r="N514" s="3" t="s">
        <v>73</v>
      </c>
    </row>
    <row r="515" ht="15.75" customHeight="1">
      <c r="A515" s="14" t="s">
        <v>72</v>
      </c>
      <c r="B515" s="15">
        <v>6.31571938E8</v>
      </c>
      <c r="C515" s="15">
        <v>45.023</v>
      </c>
      <c r="D515" s="15">
        <v>106.072</v>
      </c>
      <c r="E515" s="15">
        <v>80.684</v>
      </c>
      <c r="F515" s="16">
        <v>20.9</v>
      </c>
      <c r="G515" s="16">
        <v>14.8</v>
      </c>
      <c r="H515" s="15">
        <v>8.871150728</v>
      </c>
      <c r="I515" s="15">
        <v>8.258643597</v>
      </c>
      <c r="J515" s="15">
        <v>8.56489716</v>
      </c>
      <c r="K515" s="15">
        <v>1.31466</v>
      </c>
      <c r="L515" s="15">
        <v>1.41216216</v>
      </c>
      <c r="M515" s="15">
        <v>-0.069044834</v>
      </c>
      <c r="N515" s="14" t="s">
        <v>73</v>
      </c>
    </row>
    <row r="516" ht="15.75" customHeight="1">
      <c r="A516" s="14" t="s">
        <v>72</v>
      </c>
      <c r="B516" s="15">
        <v>6.17831875E8</v>
      </c>
      <c r="C516" s="15">
        <v>43.105</v>
      </c>
      <c r="D516" s="15">
        <v>112.618</v>
      </c>
      <c r="E516" s="15">
        <v>84.483</v>
      </c>
      <c r="F516" s="16">
        <v>20.9</v>
      </c>
      <c r="G516" s="16">
        <v>14.8</v>
      </c>
      <c r="H516" s="15">
        <v>7.999560461</v>
      </c>
      <c r="I516" s="15">
        <v>7.55127067</v>
      </c>
      <c r="J516" s="15">
        <v>7.77541557</v>
      </c>
      <c r="K516" s="15">
        <v>1.333026</v>
      </c>
      <c r="L516" s="15">
        <v>1.41216216</v>
      </c>
      <c r="M516" s="15">
        <v>-0.056039303</v>
      </c>
      <c r="N516" s="14" t="s">
        <v>73</v>
      </c>
    </row>
    <row r="517" ht="15.75" customHeight="1">
      <c r="A517" s="3" t="s">
        <v>74</v>
      </c>
      <c r="B517" s="3">
        <v>6.31436595E8</v>
      </c>
      <c r="C517" s="4">
        <v>37.168</v>
      </c>
      <c r="D517" s="4">
        <v>94.31</v>
      </c>
      <c r="E517" s="4">
        <v>66.084</v>
      </c>
      <c r="F517" s="5">
        <v>18.3</v>
      </c>
      <c r="G517" s="5">
        <v>11.5</v>
      </c>
      <c r="H517" s="4">
        <f t="shared" ref="H517:H543" si="19">(C517/D517)*F517</f>
        <v>7.212113244</v>
      </c>
      <c r="I517" s="4">
        <f t="shared" ref="I517:I543" si="20">(C517/E517)*G517</f>
        <v>6.468010411</v>
      </c>
      <c r="J517" s="4">
        <f t="shared" ref="J517:J543" si="21">AVERAGE(H517:I517)</f>
        <v>6.840061827</v>
      </c>
      <c r="K517" s="4">
        <f t="shared" ref="K517:K543" si="22">D517/E517</f>
        <v>1.427123056</v>
      </c>
      <c r="L517" s="4">
        <f t="shared" ref="L517:L543" si="23">F517/G517</f>
        <v>1.591304348</v>
      </c>
      <c r="M517" s="4">
        <f t="shared" ref="M517:M543" si="24">(K517-L517)/L517</f>
        <v>-0.1031740362</v>
      </c>
      <c r="N517" s="3" t="s">
        <v>75</v>
      </c>
    </row>
    <row r="518" ht="15.75" customHeight="1">
      <c r="A518" s="3" t="s">
        <v>74</v>
      </c>
      <c r="B518" s="3">
        <v>6.07144121E8</v>
      </c>
      <c r="C518" s="4">
        <v>32.727</v>
      </c>
      <c r="D518" s="4">
        <v>83.6</v>
      </c>
      <c r="E518" s="4">
        <v>58.727</v>
      </c>
      <c r="F518" s="5">
        <v>18.3</v>
      </c>
      <c r="G518" s="5">
        <v>11.5</v>
      </c>
      <c r="H518" s="4">
        <f t="shared" si="19"/>
        <v>7.163924641</v>
      </c>
      <c r="I518" s="4">
        <f t="shared" si="20"/>
        <v>6.408645087</v>
      </c>
      <c r="J518" s="4">
        <f t="shared" si="21"/>
        <v>6.786284864</v>
      </c>
      <c r="K518" s="4">
        <f t="shared" si="22"/>
        <v>1.423536023</v>
      </c>
      <c r="L518" s="4">
        <f t="shared" si="23"/>
        <v>1.591304348</v>
      </c>
      <c r="M518" s="4">
        <f t="shared" si="24"/>
        <v>-0.1054281825</v>
      </c>
      <c r="N518" s="3" t="s">
        <v>75</v>
      </c>
    </row>
    <row r="519" ht="15.75" customHeight="1">
      <c r="A519" s="3" t="s">
        <v>74</v>
      </c>
      <c r="B519" s="3">
        <v>6.25862908E8</v>
      </c>
      <c r="C519" s="4">
        <v>32.986</v>
      </c>
      <c r="D519" s="4">
        <v>105.921</v>
      </c>
      <c r="E519" s="4">
        <v>67.897</v>
      </c>
      <c r="F519" s="5">
        <v>18.3</v>
      </c>
      <c r="G519" s="5">
        <v>11.5</v>
      </c>
      <c r="H519" s="4">
        <f t="shared" si="19"/>
        <v>5.699000198</v>
      </c>
      <c r="I519" s="4">
        <f t="shared" si="20"/>
        <v>5.586977333</v>
      </c>
      <c r="J519" s="4">
        <f t="shared" si="21"/>
        <v>5.642988766</v>
      </c>
      <c r="K519" s="4">
        <f t="shared" si="22"/>
        <v>1.560024743</v>
      </c>
      <c r="L519" s="4">
        <f t="shared" si="23"/>
        <v>1.591304348</v>
      </c>
      <c r="M519" s="4">
        <f t="shared" si="24"/>
        <v>-0.01965658204</v>
      </c>
      <c r="N519" s="3" t="s">
        <v>75</v>
      </c>
    </row>
    <row r="520" ht="15.75" customHeight="1">
      <c r="A520" s="6" t="s">
        <v>74</v>
      </c>
      <c r="B520" s="3">
        <v>6.09028532E8</v>
      </c>
      <c r="C520" s="4">
        <v>34.677</v>
      </c>
      <c r="D520" s="4">
        <v>92.267</v>
      </c>
      <c r="E520" s="4">
        <v>69.602</v>
      </c>
      <c r="F520" s="5">
        <v>18.3</v>
      </c>
      <c r="G520" s="5">
        <v>11.5</v>
      </c>
      <c r="H520" s="4">
        <f t="shared" si="19"/>
        <v>6.87774719</v>
      </c>
      <c r="I520" s="4">
        <f t="shared" si="20"/>
        <v>5.729512083</v>
      </c>
      <c r="J520" s="4">
        <f t="shared" si="21"/>
        <v>6.303629637</v>
      </c>
      <c r="K520" s="4">
        <f t="shared" si="22"/>
        <v>1.325637194</v>
      </c>
      <c r="L520" s="4">
        <f t="shared" si="23"/>
        <v>1.591304348</v>
      </c>
      <c r="M520" s="4">
        <f t="shared" si="24"/>
        <v>-0.1669493041</v>
      </c>
      <c r="N520" s="3" t="s">
        <v>75</v>
      </c>
    </row>
    <row r="521" ht="15.75" customHeight="1">
      <c r="A521" s="3" t="s">
        <v>74</v>
      </c>
      <c r="B521" s="3">
        <v>6.25911175E8</v>
      </c>
      <c r="C521" s="4">
        <v>44.549</v>
      </c>
      <c r="D521" s="4">
        <v>137.816</v>
      </c>
      <c r="E521" s="4">
        <v>79.002</v>
      </c>
      <c r="F521" s="5">
        <v>18.3</v>
      </c>
      <c r="G521" s="5">
        <v>11.5</v>
      </c>
      <c r="H521" s="4">
        <f t="shared" si="19"/>
        <v>5.915472079</v>
      </c>
      <c r="I521" s="4">
        <f t="shared" si="20"/>
        <v>6.48481684</v>
      </c>
      <c r="J521" s="4">
        <f t="shared" si="21"/>
        <v>6.200144459</v>
      </c>
      <c r="K521" s="4">
        <f t="shared" si="22"/>
        <v>1.744462166</v>
      </c>
      <c r="L521" s="4">
        <f t="shared" si="23"/>
        <v>1.591304348</v>
      </c>
      <c r="M521" s="4">
        <f t="shared" si="24"/>
        <v>0.09624671603</v>
      </c>
      <c r="N521" s="3" t="s">
        <v>75</v>
      </c>
    </row>
    <row r="522" ht="15.75" customHeight="1">
      <c r="A522" s="3" t="s">
        <v>74</v>
      </c>
      <c r="B522" s="3">
        <v>6.23626196E8</v>
      </c>
      <c r="C522" s="4">
        <v>41.646</v>
      </c>
      <c r="D522" s="4">
        <v>109.671</v>
      </c>
      <c r="E522" s="4">
        <v>76.336</v>
      </c>
      <c r="F522" s="5">
        <v>18.3</v>
      </c>
      <c r="G522" s="5">
        <v>11.5</v>
      </c>
      <c r="H522" s="4">
        <f t="shared" si="19"/>
        <v>6.949164319</v>
      </c>
      <c r="I522" s="4">
        <f t="shared" si="20"/>
        <v>6.273959862</v>
      </c>
      <c r="J522" s="4">
        <f t="shared" si="21"/>
        <v>6.61156209</v>
      </c>
      <c r="K522" s="4">
        <f t="shared" si="22"/>
        <v>1.436687801</v>
      </c>
      <c r="L522" s="4">
        <f t="shared" si="23"/>
        <v>1.591304348</v>
      </c>
      <c r="M522" s="4">
        <f t="shared" si="24"/>
        <v>-0.09716340355</v>
      </c>
      <c r="N522" s="3" t="s">
        <v>75</v>
      </c>
    </row>
    <row r="523" ht="15.75" customHeight="1">
      <c r="A523" s="3" t="s">
        <v>74</v>
      </c>
      <c r="B523" s="3">
        <v>6.29431694E8</v>
      </c>
      <c r="C523" s="4">
        <v>48.593</v>
      </c>
      <c r="D523" s="4">
        <v>124.573</v>
      </c>
      <c r="E523" s="4">
        <v>86.587</v>
      </c>
      <c r="F523" s="5">
        <v>18.3</v>
      </c>
      <c r="G523" s="5">
        <v>11.5</v>
      </c>
      <c r="H523" s="4">
        <f t="shared" si="19"/>
        <v>7.138399974</v>
      </c>
      <c r="I523" s="4">
        <f t="shared" si="20"/>
        <v>6.453849885</v>
      </c>
      <c r="J523" s="4">
        <f t="shared" si="21"/>
        <v>6.79612493</v>
      </c>
      <c r="K523" s="4">
        <f t="shared" si="22"/>
        <v>1.43870327</v>
      </c>
      <c r="L523" s="4">
        <f t="shared" si="23"/>
        <v>1.591304348</v>
      </c>
      <c r="M523" s="4">
        <f t="shared" si="24"/>
        <v>-0.09589685247</v>
      </c>
      <c r="N523" s="3" t="s">
        <v>75</v>
      </c>
    </row>
    <row r="524" ht="15.75" customHeight="1">
      <c r="A524" s="3" t="s">
        <v>74</v>
      </c>
      <c r="B524" s="3">
        <v>6.1815191E8</v>
      </c>
      <c r="C524" s="4">
        <v>58.532</v>
      </c>
      <c r="D524" s="4">
        <v>144.184</v>
      </c>
      <c r="E524" s="4">
        <v>99.247</v>
      </c>
      <c r="F524" s="5">
        <v>18.3</v>
      </c>
      <c r="G524" s="5">
        <v>11.5</v>
      </c>
      <c r="H524" s="4">
        <f t="shared" si="19"/>
        <v>7.428949121</v>
      </c>
      <c r="I524" s="4">
        <f t="shared" si="20"/>
        <v>6.782250345</v>
      </c>
      <c r="J524" s="4">
        <f t="shared" si="21"/>
        <v>7.105599733</v>
      </c>
      <c r="K524" s="4">
        <f t="shared" si="22"/>
        <v>1.452779429</v>
      </c>
      <c r="L524" s="4">
        <f t="shared" si="23"/>
        <v>1.591304348</v>
      </c>
      <c r="M524" s="4">
        <f t="shared" si="24"/>
        <v>-0.08705117843</v>
      </c>
      <c r="N524" s="3" t="s">
        <v>75</v>
      </c>
    </row>
    <row r="525" ht="15.75" customHeight="1">
      <c r="A525" s="3" t="s">
        <v>74</v>
      </c>
      <c r="B525" s="3">
        <v>2.44492291E8</v>
      </c>
      <c r="C525" s="4">
        <v>44.952</v>
      </c>
      <c r="D525" s="4">
        <v>124.688</v>
      </c>
      <c r="E525" s="4">
        <v>75.314</v>
      </c>
      <c r="F525" s="5">
        <v>18.3</v>
      </c>
      <c r="G525" s="5">
        <v>11.5</v>
      </c>
      <c r="H525" s="4">
        <f t="shared" si="19"/>
        <v>6.59744001</v>
      </c>
      <c r="I525" s="4">
        <f t="shared" si="20"/>
        <v>6.863903126</v>
      </c>
      <c r="J525" s="4">
        <f t="shared" si="21"/>
        <v>6.730671568</v>
      </c>
      <c r="K525" s="4">
        <f t="shared" si="22"/>
        <v>1.655575325</v>
      </c>
      <c r="L525" s="4">
        <f t="shared" si="23"/>
        <v>1.591304348</v>
      </c>
      <c r="M525" s="4">
        <f t="shared" si="24"/>
        <v>0.04038886521</v>
      </c>
      <c r="N525" s="3" t="s">
        <v>75</v>
      </c>
    </row>
    <row r="526" ht="15.75" customHeight="1">
      <c r="A526" s="3" t="s">
        <v>74</v>
      </c>
      <c r="B526" s="3">
        <v>6.24025992E8</v>
      </c>
      <c r="C526" s="4">
        <v>39.78</v>
      </c>
      <c r="D526" s="4">
        <v>103.156</v>
      </c>
      <c r="E526" s="4">
        <v>68.209</v>
      </c>
      <c r="F526" s="5">
        <v>18.3</v>
      </c>
      <c r="G526" s="5">
        <v>11.5</v>
      </c>
      <c r="H526" s="4">
        <f t="shared" si="19"/>
        <v>7.057020435</v>
      </c>
      <c r="I526" s="4">
        <f t="shared" si="20"/>
        <v>6.706886188</v>
      </c>
      <c r="J526" s="4">
        <f t="shared" si="21"/>
        <v>6.881953312</v>
      </c>
      <c r="K526" s="4">
        <f t="shared" si="22"/>
        <v>1.512351742</v>
      </c>
      <c r="L526" s="4">
        <f t="shared" si="23"/>
        <v>1.591304348</v>
      </c>
      <c r="M526" s="4">
        <f t="shared" si="24"/>
        <v>-0.04961502524</v>
      </c>
      <c r="N526" s="3" t="s">
        <v>75</v>
      </c>
    </row>
    <row r="527" ht="15.75" customHeight="1">
      <c r="A527" s="3" t="s">
        <v>74</v>
      </c>
      <c r="B527" s="3">
        <v>3.57019301E8</v>
      </c>
      <c r="C527" s="4">
        <v>38.25</v>
      </c>
      <c r="D527" s="4">
        <v>104.771</v>
      </c>
      <c r="E527" s="4">
        <v>67.341</v>
      </c>
      <c r="F527" s="5">
        <v>18.3</v>
      </c>
      <c r="G527" s="5">
        <v>11.5</v>
      </c>
      <c r="H527" s="4">
        <f t="shared" si="19"/>
        <v>6.680999513</v>
      </c>
      <c r="I527" s="4">
        <f t="shared" si="20"/>
        <v>6.532053281</v>
      </c>
      <c r="J527" s="4">
        <f t="shared" si="21"/>
        <v>6.606526397</v>
      </c>
      <c r="K527" s="4">
        <f t="shared" si="22"/>
        <v>1.555827802</v>
      </c>
      <c r="L527" s="4">
        <f t="shared" si="23"/>
        <v>1.591304348</v>
      </c>
      <c r="M527" s="4">
        <f t="shared" si="24"/>
        <v>-0.02229400434</v>
      </c>
      <c r="N527" s="3" t="s">
        <v>75</v>
      </c>
    </row>
    <row r="528" ht="15.75" customHeight="1">
      <c r="A528" s="3" t="s">
        <v>74</v>
      </c>
      <c r="B528" s="3">
        <v>4.62635041E8</v>
      </c>
      <c r="C528" s="4">
        <v>36.684</v>
      </c>
      <c r="D528" s="4">
        <v>105.802</v>
      </c>
      <c r="E528" s="4">
        <v>65.744</v>
      </c>
      <c r="F528" s="5">
        <v>18.3</v>
      </c>
      <c r="G528" s="5">
        <v>11.5</v>
      </c>
      <c r="H528" s="4">
        <f t="shared" si="19"/>
        <v>6.345033175</v>
      </c>
      <c r="I528" s="4">
        <f t="shared" si="20"/>
        <v>6.416798491</v>
      </c>
      <c r="J528" s="4">
        <f t="shared" si="21"/>
        <v>6.380915833</v>
      </c>
      <c r="K528" s="4">
        <f t="shared" si="22"/>
        <v>1.60930275</v>
      </c>
      <c r="L528" s="4">
        <f t="shared" si="23"/>
        <v>1.591304348</v>
      </c>
      <c r="M528" s="4">
        <f t="shared" si="24"/>
        <v>0.01131047135</v>
      </c>
      <c r="N528" s="3" t="s">
        <v>75</v>
      </c>
    </row>
    <row r="529" ht="15.75" customHeight="1">
      <c r="A529" s="3" t="s">
        <v>74</v>
      </c>
      <c r="B529" s="3">
        <v>7.1070451E7</v>
      </c>
      <c r="C529" s="4">
        <v>49.269</v>
      </c>
      <c r="D529" s="4">
        <v>133.38</v>
      </c>
      <c r="E529" s="4">
        <v>91.14</v>
      </c>
      <c r="F529" s="5">
        <v>18.3</v>
      </c>
      <c r="G529" s="5">
        <v>11.5</v>
      </c>
      <c r="H529" s="4">
        <f t="shared" si="19"/>
        <v>6.759804318</v>
      </c>
      <c r="I529" s="4">
        <f t="shared" si="20"/>
        <v>6.216737986</v>
      </c>
      <c r="J529" s="4">
        <f t="shared" si="21"/>
        <v>6.488271152</v>
      </c>
      <c r="K529" s="4">
        <f t="shared" si="22"/>
        <v>1.463462804</v>
      </c>
      <c r="L529" s="4">
        <f t="shared" si="23"/>
        <v>1.591304348</v>
      </c>
      <c r="M529" s="4">
        <f t="shared" si="24"/>
        <v>-0.08033758189</v>
      </c>
      <c r="N529" s="3" t="s">
        <v>75</v>
      </c>
    </row>
    <row r="530" ht="15.75" customHeight="1">
      <c r="A530" s="2" t="s">
        <v>76</v>
      </c>
      <c r="B530" s="3">
        <v>6.25826303E8</v>
      </c>
      <c r="C530" s="4">
        <v>49.076</v>
      </c>
      <c r="D530" s="4">
        <v>84.561</v>
      </c>
      <c r="E530" s="4">
        <v>40.278</v>
      </c>
      <c r="F530" s="5">
        <v>12.0</v>
      </c>
      <c r="G530" s="5">
        <v>4.9</v>
      </c>
      <c r="H530" s="4">
        <f t="shared" si="19"/>
        <v>6.964345266</v>
      </c>
      <c r="I530" s="4">
        <f t="shared" si="20"/>
        <v>5.970316302</v>
      </c>
      <c r="J530" s="4">
        <f t="shared" si="21"/>
        <v>6.467330784</v>
      </c>
      <c r="K530" s="4">
        <f t="shared" si="22"/>
        <v>2.099433934</v>
      </c>
      <c r="L530" s="4">
        <f t="shared" si="23"/>
        <v>2.448979592</v>
      </c>
      <c r="M530" s="4">
        <f t="shared" si="24"/>
        <v>-0.1427311436</v>
      </c>
      <c r="N530" s="3" t="s">
        <v>77</v>
      </c>
    </row>
    <row r="531" ht="15.75" customHeight="1">
      <c r="A531" s="2" t="s">
        <v>76</v>
      </c>
      <c r="B531" s="3">
        <v>3.12883471E8</v>
      </c>
      <c r="C531" s="4">
        <v>39.744</v>
      </c>
      <c r="D531" s="4">
        <v>75.912</v>
      </c>
      <c r="E531" s="4">
        <v>35.84</v>
      </c>
      <c r="F531" s="5">
        <v>12.0</v>
      </c>
      <c r="G531" s="5">
        <v>4.9</v>
      </c>
      <c r="H531" s="4">
        <f t="shared" si="19"/>
        <v>6.28264306</v>
      </c>
      <c r="I531" s="4">
        <f t="shared" si="20"/>
        <v>5.43375</v>
      </c>
      <c r="J531" s="4">
        <f t="shared" si="21"/>
        <v>5.85819653</v>
      </c>
      <c r="K531" s="4">
        <f t="shared" si="22"/>
        <v>2.118080357</v>
      </c>
      <c r="L531" s="4">
        <f t="shared" si="23"/>
        <v>2.448979592</v>
      </c>
      <c r="M531" s="4">
        <f t="shared" si="24"/>
        <v>-0.1351171875</v>
      </c>
      <c r="N531" s="3" t="s">
        <v>77</v>
      </c>
    </row>
    <row r="532" ht="15.75" customHeight="1">
      <c r="A532" s="7" t="s">
        <v>76</v>
      </c>
      <c r="B532" s="3">
        <v>6.17023195E8</v>
      </c>
      <c r="C532" s="4">
        <v>42.967</v>
      </c>
      <c r="D532" s="4">
        <v>88.192</v>
      </c>
      <c r="E532" s="4">
        <v>42.859</v>
      </c>
      <c r="F532" s="5">
        <v>12.0</v>
      </c>
      <c r="G532" s="5">
        <v>4.9</v>
      </c>
      <c r="H532" s="4">
        <f t="shared" si="19"/>
        <v>5.846380624</v>
      </c>
      <c r="I532" s="4">
        <f t="shared" si="20"/>
        <v>4.912347465</v>
      </c>
      <c r="J532" s="4">
        <f t="shared" si="21"/>
        <v>5.379364045</v>
      </c>
      <c r="K532" s="4">
        <f t="shared" si="22"/>
        <v>2.057724165</v>
      </c>
      <c r="L532" s="4">
        <f t="shared" si="23"/>
        <v>2.448979592</v>
      </c>
      <c r="M532" s="4">
        <f t="shared" si="24"/>
        <v>-0.1597626325</v>
      </c>
      <c r="N532" s="3" t="s">
        <v>77</v>
      </c>
    </row>
    <row r="533" ht="15.75" customHeight="1">
      <c r="A533" s="3" t="s">
        <v>76</v>
      </c>
      <c r="B533" s="3">
        <v>4.79372101E8</v>
      </c>
      <c r="C533" s="4">
        <v>47.751</v>
      </c>
      <c r="D533" s="4">
        <v>98.096</v>
      </c>
      <c r="E533" s="4">
        <v>41.502</v>
      </c>
      <c r="F533" s="5">
        <v>12.0</v>
      </c>
      <c r="G533" s="5">
        <v>4.9</v>
      </c>
      <c r="H533" s="4">
        <f t="shared" si="19"/>
        <v>5.841339096</v>
      </c>
      <c r="I533" s="4">
        <f t="shared" si="20"/>
        <v>5.637798178</v>
      </c>
      <c r="J533" s="4">
        <f t="shared" si="21"/>
        <v>5.739568637</v>
      </c>
      <c r="K533" s="4">
        <f t="shared" si="22"/>
        <v>2.363645126</v>
      </c>
      <c r="L533" s="4">
        <f t="shared" si="23"/>
        <v>2.448979592</v>
      </c>
      <c r="M533" s="4">
        <f t="shared" si="24"/>
        <v>-0.03484490707</v>
      </c>
      <c r="N533" s="3" t="s">
        <v>77</v>
      </c>
    </row>
    <row r="534" ht="15.75" customHeight="1">
      <c r="A534" s="3" t="s">
        <v>76</v>
      </c>
      <c r="B534" s="3">
        <v>5.24309431E8</v>
      </c>
      <c r="C534" s="4">
        <v>43.705</v>
      </c>
      <c r="D534" s="4">
        <v>80.051</v>
      </c>
      <c r="E534" s="4">
        <v>36.346</v>
      </c>
      <c r="F534" s="5">
        <v>12.0</v>
      </c>
      <c r="G534" s="5">
        <v>4.9</v>
      </c>
      <c r="H534" s="4">
        <f t="shared" si="19"/>
        <v>6.551573372</v>
      </c>
      <c r="I534" s="4">
        <f t="shared" si="20"/>
        <v>5.892106422</v>
      </c>
      <c r="J534" s="4">
        <f t="shared" si="21"/>
        <v>6.221839897</v>
      </c>
      <c r="K534" s="4">
        <f t="shared" si="22"/>
        <v>2.202470698</v>
      </c>
      <c r="L534" s="4">
        <f t="shared" si="23"/>
        <v>2.448979592</v>
      </c>
      <c r="M534" s="4">
        <f t="shared" si="24"/>
        <v>-0.1006577982</v>
      </c>
      <c r="N534" s="3" t="s">
        <v>77</v>
      </c>
    </row>
    <row r="535" ht="15.75" customHeight="1">
      <c r="A535" s="3" t="s">
        <v>76</v>
      </c>
      <c r="B535" s="3">
        <v>5.25520601E8</v>
      </c>
      <c r="C535" s="4">
        <v>33.968</v>
      </c>
      <c r="D535" s="4">
        <v>79.209</v>
      </c>
      <c r="E535" s="4">
        <v>35.625</v>
      </c>
      <c r="F535" s="5">
        <v>12.0</v>
      </c>
      <c r="G535" s="5">
        <v>4.9</v>
      </c>
      <c r="H535" s="4">
        <f t="shared" si="19"/>
        <v>5.146081885</v>
      </c>
      <c r="I535" s="4">
        <f t="shared" si="20"/>
        <v>4.672089825</v>
      </c>
      <c r="J535" s="4">
        <f t="shared" si="21"/>
        <v>4.909085855</v>
      </c>
      <c r="K535" s="4">
        <f t="shared" si="22"/>
        <v>2.223410526</v>
      </c>
      <c r="L535" s="4">
        <f t="shared" si="23"/>
        <v>2.448979592</v>
      </c>
      <c r="M535" s="4">
        <f t="shared" si="24"/>
        <v>-0.09210736842</v>
      </c>
      <c r="N535" s="3" t="s">
        <v>77</v>
      </c>
    </row>
    <row r="536" ht="15.75" customHeight="1">
      <c r="A536" s="3" t="s">
        <v>76</v>
      </c>
      <c r="B536" s="3">
        <v>4.16659561E8</v>
      </c>
      <c r="C536" s="4">
        <v>43.604</v>
      </c>
      <c r="D536" s="4">
        <v>94.753</v>
      </c>
      <c r="E536" s="4">
        <v>43.007</v>
      </c>
      <c r="F536" s="5">
        <v>12.0</v>
      </c>
      <c r="G536" s="5">
        <v>4.9</v>
      </c>
      <c r="H536" s="4">
        <f t="shared" si="19"/>
        <v>5.522231486</v>
      </c>
      <c r="I536" s="4">
        <f t="shared" si="20"/>
        <v>4.96801916</v>
      </c>
      <c r="J536" s="4">
        <f t="shared" si="21"/>
        <v>5.245125323</v>
      </c>
      <c r="K536" s="4">
        <f t="shared" si="22"/>
        <v>2.203199479</v>
      </c>
      <c r="L536" s="4">
        <f t="shared" si="23"/>
        <v>2.448979592</v>
      </c>
      <c r="M536" s="4">
        <f t="shared" si="24"/>
        <v>-0.1003602127</v>
      </c>
      <c r="N536" s="3" t="s">
        <v>77</v>
      </c>
    </row>
    <row r="537" ht="15.75" customHeight="1">
      <c r="A537" s="2" t="s">
        <v>76</v>
      </c>
      <c r="B537" s="3">
        <v>5.85536141E8</v>
      </c>
      <c r="C537" s="4">
        <v>41.058</v>
      </c>
      <c r="D537" s="4">
        <v>88.036</v>
      </c>
      <c r="E537" s="4">
        <v>40.501</v>
      </c>
      <c r="F537" s="5">
        <v>12.0</v>
      </c>
      <c r="G537" s="5">
        <v>4.9</v>
      </c>
      <c r="H537" s="4">
        <f t="shared" si="19"/>
        <v>5.596528693</v>
      </c>
      <c r="I537" s="4">
        <f t="shared" si="20"/>
        <v>4.96738846</v>
      </c>
      <c r="J537" s="4">
        <f t="shared" si="21"/>
        <v>5.281958576</v>
      </c>
      <c r="K537" s="4">
        <f t="shared" si="22"/>
        <v>2.173674724</v>
      </c>
      <c r="L537" s="4">
        <f t="shared" si="23"/>
        <v>2.448979592</v>
      </c>
      <c r="M537" s="4">
        <f t="shared" si="24"/>
        <v>-0.1124161543</v>
      </c>
      <c r="N537" s="3" t="s">
        <v>77</v>
      </c>
    </row>
    <row r="538" ht="15.75" customHeight="1">
      <c r="A538" s="3" t="s">
        <v>76</v>
      </c>
      <c r="B538" s="3">
        <v>2.51245761E8</v>
      </c>
      <c r="C538" s="4">
        <v>38.737</v>
      </c>
      <c r="D538" s="4">
        <v>78.775</v>
      </c>
      <c r="E538" s="4">
        <v>35.157</v>
      </c>
      <c r="F538" s="5">
        <v>12.0</v>
      </c>
      <c r="G538" s="5">
        <v>4.9</v>
      </c>
      <c r="H538" s="4">
        <f t="shared" si="19"/>
        <v>5.900907648</v>
      </c>
      <c r="I538" s="4">
        <f t="shared" si="20"/>
        <v>5.3989618</v>
      </c>
      <c r="J538" s="4">
        <f t="shared" si="21"/>
        <v>5.649934724</v>
      </c>
      <c r="K538" s="4">
        <f t="shared" si="22"/>
        <v>2.24066331</v>
      </c>
      <c r="L538" s="4">
        <f t="shared" si="23"/>
        <v>2.448979592</v>
      </c>
      <c r="M538" s="4">
        <f t="shared" si="24"/>
        <v>-0.08506248163</v>
      </c>
      <c r="N538" s="3" t="s">
        <v>77</v>
      </c>
    </row>
    <row r="539" ht="15.75" customHeight="1">
      <c r="A539" s="6" t="s">
        <v>76</v>
      </c>
      <c r="B539" s="3">
        <v>3.79291681E8</v>
      </c>
      <c r="C539" s="4">
        <v>30.454</v>
      </c>
      <c r="D539" s="4">
        <v>69.954</v>
      </c>
      <c r="E539" s="4">
        <v>34.606</v>
      </c>
      <c r="F539" s="5">
        <v>12.0</v>
      </c>
      <c r="G539" s="5">
        <v>4.9</v>
      </c>
      <c r="H539" s="4">
        <f t="shared" si="19"/>
        <v>5.224118707</v>
      </c>
      <c r="I539" s="4">
        <f t="shared" si="20"/>
        <v>4.312101948</v>
      </c>
      <c r="J539" s="4">
        <f t="shared" si="21"/>
        <v>4.768110327</v>
      </c>
      <c r="K539" s="4">
        <f t="shared" si="22"/>
        <v>2.021441369</v>
      </c>
      <c r="L539" s="4">
        <f t="shared" si="23"/>
        <v>2.448979592</v>
      </c>
      <c r="M539" s="4">
        <f t="shared" si="24"/>
        <v>-0.1745781078</v>
      </c>
      <c r="N539" s="3" t="s">
        <v>77</v>
      </c>
    </row>
    <row r="540" ht="15.75" customHeight="1">
      <c r="A540" s="3" t="s">
        <v>76</v>
      </c>
      <c r="B540" s="3">
        <v>2.97923911E8</v>
      </c>
      <c r="C540" s="4">
        <v>45.251</v>
      </c>
      <c r="D540" s="4">
        <v>94.806</v>
      </c>
      <c r="E540" s="4">
        <v>39.916</v>
      </c>
      <c r="F540" s="5">
        <v>12.0</v>
      </c>
      <c r="G540" s="5">
        <v>4.9</v>
      </c>
      <c r="H540" s="4">
        <f t="shared" si="19"/>
        <v>5.727612176</v>
      </c>
      <c r="I540" s="4">
        <f t="shared" si="20"/>
        <v>5.554912817</v>
      </c>
      <c r="J540" s="4">
        <f t="shared" si="21"/>
        <v>5.641262497</v>
      </c>
      <c r="K540" s="4">
        <f t="shared" si="22"/>
        <v>2.375137789</v>
      </c>
      <c r="L540" s="4">
        <f t="shared" si="23"/>
        <v>2.448979592</v>
      </c>
      <c r="M540" s="4">
        <f t="shared" si="24"/>
        <v>-0.03015206935</v>
      </c>
      <c r="N540" s="3" t="s">
        <v>77</v>
      </c>
    </row>
    <row r="541" ht="15.75" customHeight="1">
      <c r="A541" s="2" t="s">
        <v>76</v>
      </c>
      <c r="B541" s="3">
        <v>1.47870471E8</v>
      </c>
      <c r="C541" s="4">
        <v>45.211</v>
      </c>
      <c r="D541" s="4">
        <v>88.01</v>
      </c>
      <c r="E541" s="4">
        <v>41.225</v>
      </c>
      <c r="F541" s="5">
        <v>12.0</v>
      </c>
      <c r="G541" s="5">
        <v>4.9</v>
      </c>
      <c r="H541" s="4">
        <f t="shared" si="19"/>
        <v>6.16443586</v>
      </c>
      <c r="I541" s="4">
        <f t="shared" si="20"/>
        <v>5.373775622</v>
      </c>
      <c r="J541" s="4">
        <f t="shared" si="21"/>
        <v>5.769105741</v>
      </c>
      <c r="K541" s="4">
        <f t="shared" si="22"/>
        <v>2.134869618</v>
      </c>
      <c r="L541" s="4">
        <f t="shared" si="23"/>
        <v>2.448979592</v>
      </c>
      <c r="M541" s="4">
        <f t="shared" si="24"/>
        <v>-0.1282615727</v>
      </c>
      <c r="N541" s="3" t="s">
        <v>77</v>
      </c>
    </row>
    <row r="542" ht="15.75" customHeight="1">
      <c r="A542" s="6" t="s">
        <v>76</v>
      </c>
      <c r="B542" s="3">
        <v>6.26596909E8</v>
      </c>
      <c r="C542" s="4">
        <v>37.5</v>
      </c>
      <c r="D542" s="4">
        <v>80.264</v>
      </c>
      <c r="E542" s="4">
        <v>39.778</v>
      </c>
      <c r="F542" s="5">
        <v>12.0</v>
      </c>
      <c r="G542" s="5">
        <v>4.9</v>
      </c>
      <c r="H542" s="4">
        <f t="shared" si="19"/>
        <v>5.606498555</v>
      </c>
      <c r="I542" s="4">
        <f t="shared" si="20"/>
        <v>4.619387601</v>
      </c>
      <c r="J542" s="4">
        <f t="shared" si="21"/>
        <v>5.112943078</v>
      </c>
      <c r="K542" s="4">
        <f t="shared" si="22"/>
        <v>2.017798783</v>
      </c>
      <c r="L542" s="4">
        <f t="shared" si="23"/>
        <v>2.448979592</v>
      </c>
      <c r="M542" s="4">
        <f t="shared" si="24"/>
        <v>-0.1760654968</v>
      </c>
      <c r="N542" s="3" t="s">
        <v>77</v>
      </c>
    </row>
    <row r="543" ht="15.75" customHeight="1">
      <c r="A543" s="2" t="s">
        <v>76</v>
      </c>
      <c r="B543" s="3">
        <v>3.72299721E8</v>
      </c>
      <c r="C543" s="4">
        <v>36.843</v>
      </c>
      <c r="D543" s="4">
        <v>70.087</v>
      </c>
      <c r="E543" s="4">
        <v>32.962</v>
      </c>
      <c r="F543" s="5">
        <v>12.0</v>
      </c>
      <c r="G543" s="5">
        <v>4.9</v>
      </c>
      <c r="H543" s="4">
        <f t="shared" si="19"/>
        <v>6.308102787</v>
      </c>
      <c r="I543" s="4">
        <f t="shared" si="20"/>
        <v>5.476934045</v>
      </c>
      <c r="J543" s="4">
        <f t="shared" si="21"/>
        <v>5.892518416</v>
      </c>
      <c r="K543" s="4">
        <f t="shared" si="22"/>
        <v>2.126296948</v>
      </c>
      <c r="L543" s="4">
        <f t="shared" si="23"/>
        <v>2.448979592</v>
      </c>
      <c r="M543" s="4">
        <f t="shared" si="24"/>
        <v>-0.1317620796</v>
      </c>
      <c r="N543" s="3" t="s">
        <v>77</v>
      </c>
    </row>
    <row r="544" ht="15.75" customHeight="1">
      <c r="A544" s="14" t="s">
        <v>76</v>
      </c>
      <c r="B544" s="15">
        <v>6.35522594E8</v>
      </c>
      <c r="C544" s="15">
        <v>51.916</v>
      </c>
      <c r="D544" s="15">
        <v>110.0</v>
      </c>
      <c r="E544" s="15">
        <v>49.73</v>
      </c>
      <c r="F544" s="16">
        <v>12.0</v>
      </c>
      <c r="G544" s="16">
        <v>4.9</v>
      </c>
      <c r="H544" s="15">
        <v>5.663563636</v>
      </c>
      <c r="I544" s="15">
        <v>5.115391112</v>
      </c>
      <c r="J544" s="15">
        <v>5.38947737</v>
      </c>
      <c r="K544" s="15">
        <v>2.211945</v>
      </c>
      <c r="L544" s="15">
        <v>2.44897959</v>
      </c>
      <c r="M544" s="15">
        <v>-0.096789329</v>
      </c>
      <c r="N544" s="14" t="s">
        <v>77</v>
      </c>
    </row>
    <row r="545" ht="15.75" customHeight="1">
      <c r="A545" s="14" t="s">
        <v>76</v>
      </c>
      <c r="B545" s="15">
        <v>6.33169363E8</v>
      </c>
      <c r="C545" s="15">
        <v>44.393</v>
      </c>
      <c r="D545" s="15">
        <v>96.547</v>
      </c>
      <c r="E545" s="15">
        <v>42.501</v>
      </c>
      <c r="F545" s="16">
        <v>12.0</v>
      </c>
      <c r="G545" s="16">
        <v>4.9</v>
      </c>
      <c r="H545" s="15">
        <v>5.517685687</v>
      </c>
      <c r="I545" s="15">
        <v>5.118131338</v>
      </c>
      <c r="J545" s="15">
        <v>5.31790851</v>
      </c>
      <c r="K545" s="15">
        <v>2.271641</v>
      </c>
      <c r="L545" s="15">
        <v>2.44897959</v>
      </c>
      <c r="M545" s="15">
        <v>-0.072413394</v>
      </c>
      <c r="N545" s="14" t="s">
        <v>77</v>
      </c>
    </row>
    <row r="546" ht="15.75" customHeight="1">
      <c r="A546" s="14" t="s">
        <v>76</v>
      </c>
      <c r="B546" s="15">
        <v>6.21076354E8</v>
      </c>
      <c r="C546" s="15">
        <v>50.169</v>
      </c>
      <c r="D546" s="15">
        <v>107.259</v>
      </c>
      <c r="E546" s="15">
        <v>44.321</v>
      </c>
      <c r="F546" s="16">
        <v>12.0</v>
      </c>
      <c r="G546" s="16">
        <v>4.9</v>
      </c>
      <c r="H546" s="15">
        <v>5.612843677</v>
      </c>
      <c r="I546" s="15">
        <v>5.546537759</v>
      </c>
      <c r="J546" s="15">
        <v>5.57969072</v>
      </c>
      <c r="K546" s="15">
        <v>2.420049</v>
      </c>
      <c r="L546" s="15">
        <v>2.44897959</v>
      </c>
      <c r="M546" s="15">
        <v>-0.011813249</v>
      </c>
      <c r="N546" s="14" t="s">
        <v>77</v>
      </c>
    </row>
    <row r="547" ht="15.75" customHeight="1">
      <c r="A547" s="14" t="s">
        <v>76</v>
      </c>
      <c r="B547" s="15">
        <v>6.1756485E8</v>
      </c>
      <c r="C547" s="15">
        <v>51.125</v>
      </c>
      <c r="D547" s="15">
        <v>122.431</v>
      </c>
      <c r="E547" s="15">
        <v>48.822</v>
      </c>
      <c r="F547" s="16">
        <v>12.0</v>
      </c>
      <c r="G547" s="16">
        <v>4.9</v>
      </c>
      <c r="H547" s="15">
        <v>5.01098578</v>
      </c>
      <c r="I547" s="15">
        <v>5.13113965</v>
      </c>
      <c r="J547" s="15">
        <v>5.07106271</v>
      </c>
      <c r="K547" s="15">
        <v>2.507701</v>
      </c>
      <c r="L547" s="15">
        <v>2.44897959</v>
      </c>
      <c r="M547" s="15">
        <v>0.02397809</v>
      </c>
      <c r="N547" s="14" t="s">
        <v>77</v>
      </c>
    </row>
    <row r="548" ht="15.75" customHeight="1">
      <c r="A548" s="3" t="s">
        <v>78</v>
      </c>
      <c r="B548" s="3">
        <v>5.63422641E8</v>
      </c>
      <c r="C548" s="4">
        <v>47.954</v>
      </c>
      <c r="D548" s="4">
        <v>68.31</v>
      </c>
      <c r="E548" s="4">
        <v>32.177</v>
      </c>
      <c r="F548" s="5">
        <v>6.7</v>
      </c>
      <c r="G548" s="5">
        <v>3.1</v>
      </c>
      <c r="H548" s="4">
        <f t="shared" ref="H548:H562" si="25">(C548/D548)*F548</f>
        <v>4.703437271</v>
      </c>
      <c r="I548" s="4">
        <f t="shared" ref="I548:I562" si="26">(C548/E548)*G548</f>
        <v>4.619989433</v>
      </c>
      <c r="J548" s="4">
        <f t="shared" ref="J548:J562" si="27">AVERAGE(H548:I548)</f>
        <v>4.661713352</v>
      </c>
      <c r="K548" s="4">
        <f t="shared" ref="K548:K562" si="28">D548/E548</f>
        <v>2.122944961</v>
      </c>
      <c r="L548" s="4">
        <f t="shared" ref="L548:L562" si="29">F548/G548</f>
        <v>2.161290323</v>
      </c>
      <c r="M548" s="4">
        <f t="shared" ref="M548:M562" si="30">(K548-L548)/L548</f>
        <v>-0.01774188386</v>
      </c>
      <c r="N548" s="3" t="s">
        <v>79</v>
      </c>
    </row>
    <row r="549" ht="15.75" customHeight="1">
      <c r="A549" s="3" t="s">
        <v>78</v>
      </c>
      <c r="B549" s="3">
        <v>1.22941161E8</v>
      </c>
      <c r="C549" s="4">
        <v>45.996</v>
      </c>
      <c r="D549" s="4">
        <v>70.054</v>
      </c>
      <c r="E549" s="4">
        <v>34.961</v>
      </c>
      <c r="F549" s="5">
        <v>6.7</v>
      </c>
      <c r="G549" s="5">
        <v>3.1</v>
      </c>
      <c r="H549" s="4">
        <f t="shared" si="25"/>
        <v>4.399080709</v>
      </c>
      <c r="I549" s="4">
        <f t="shared" si="26"/>
        <v>4.078476016</v>
      </c>
      <c r="J549" s="4">
        <f t="shared" si="27"/>
        <v>4.238778363</v>
      </c>
      <c r="K549" s="4">
        <f t="shared" si="28"/>
        <v>2.003775636</v>
      </c>
      <c r="L549" s="4">
        <f t="shared" si="29"/>
        <v>2.161290323</v>
      </c>
      <c r="M549" s="4">
        <f t="shared" si="30"/>
        <v>-0.07287992975</v>
      </c>
      <c r="N549" s="3" t="s">
        <v>79</v>
      </c>
    </row>
    <row r="550" ht="15.75" customHeight="1">
      <c r="A550" s="3" t="s">
        <v>78</v>
      </c>
      <c r="B550" s="3">
        <v>6.29586307E8</v>
      </c>
      <c r="C550" s="4">
        <v>45.284</v>
      </c>
      <c r="D550" s="4">
        <v>69.316</v>
      </c>
      <c r="E550" s="4">
        <v>34.002</v>
      </c>
      <c r="F550" s="5">
        <v>6.7</v>
      </c>
      <c r="G550" s="5">
        <v>3.1</v>
      </c>
      <c r="H550" s="4">
        <f t="shared" si="25"/>
        <v>4.377096197</v>
      </c>
      <c r="I550" s="4">
        <f t="shared" si="26"/>
        <v>4.128592436</v>
      </c>
      <c r="J550" s="4">
        <f t="shared" si="27"/>
        <v>4.252844316</v>
      </c>
      <c r="K550" s="4">
        <f t="shared" si="28"/>
        <v>2.038585966</v>
      </c>
      <c r="L550" s="4">
        <f t="shared" si="29"/>
        <v>2.161290323</v>
      </c>
      <c r="M550" s="4">
        <f t="shared" si="30"/>
        <v>-0.05677365774</v>
      </c>
      <c r="N550" s="3" t="s">
        <v>79</v>
      </c>
    </row>
    <row r="551" ht="15.75" customHeight="1">
      <c r="A551" s="3" t="s">
        <v>78</v>
      </c>
      <c r="B551" s="3">
        <v>6.2803211E8</v>
      </c>
      <c r="C551" s="4">
        <v>54.745</v>
      </c>
      <c r="D551" s="4">
        <v>70.705</v>
      </c>
      <c r="E551" s="4">
        <v>34.353</v>
      </c>
      <c r="F551" s="5">
        <v>6.7</v>
      </c>
      <c r="G551" s="5">
        <v>3.1</v>
      </c>
      <c r="H551" s="4">
        <f t="shared" si="25"/>
        <v>5.187631709</v>
      </c>
      <c r="I551" s="4">
        <f t="shared" si="26"/>
        <v>4.940165342</v>
      </c>
      <c r="J551" s="4">
        <f t="shared" si="27"/>
        <v>5.063898526</v>
      </c>
      <c r="K551" s="4">
        <f t="shared" si="28"/>
        <v>2.058189969</v>
      </c>
      <c r="L551" s="4">
        <f t="shared" si="29"/>
        <v>2.161290323</v>
      </c>
      <c r="M551" s="4">
        <f t="shared" si="30"/>
        <v>-0.04770314874</v>
      </c>
      <c r="N551" s="3" t="s">
        <v>79</v>
      </c>
    </row>
    <row r="552" ht="15.75" customHeight="1">
      <c r="A552" s="3" t="s">
        <v>78</v>
      </c>
      <c r="B552" s="3">
        <v>5.22681691E8</v>
      </c>
      <c r="C552" s="4">
        <v>52.502</v>
      </c>
      <c r="D552" s="4">
        <v>74.649</v>
      </c>
      <c r="E552" s="4">
        <v>35.062</v>
      </c>
      <c r="F552" s="5">
        <v>6.7</v>
      </c>
      <c r="G552" s="5">
        <v>3.1</v>
      </c>
      <c r="H552" s="4">
        <f t="shared" si="25"/>
        <v>4.712231912</v>
      </c>
      <c r="I552" s="4">
        <f t="shared" si="26"/>
        <v>4.641954252</v>
      </c>
      <c r="J552" s="4">
        <f t="shared" si="27"/>
        <v>4.677093082</v>
      </c>
      <c r="K552" s="4">
        <f t="shared" si="28"/>
        <v>2.129057099</v>
      </c>
      <c r="L552" s="4">
        <f t="shared" si="29"/>
        <v>2.161290323</v>
      </c>
      <c r="M552" s="4">
        <f t="shared" si="30"/>
        <v>-0.01491387963</v>
      </c>
      <c r="N552" s="3" t="s">
        <v>79</v>
      </c>
    </row>
    <row r="553" ht="15.75" customHeight="1">
      <c r="A553" s="6" t="s">
        <v>78</v>
      </c>
      <c r="B553" s="3">
        <v>6.32137069E8</v>
      </c>
      <c r="C553" s="4">
        <v>46.065</v>
      </c>
      <c r="D553" s="4">
        <v>56.93</v>
      </c>
      <c r="E553" s="4">
        <v>32.268</v>
      </c>
      <c r="F553" s="5">
        <v>6.7</v>
      </c>
      <c r="G553" s="5">
        <v>3.1</v>
      </c>
      <c r="H553" s="4">
        <f t="shared" si="25"/>
        <v>5.421315651</v>
      </c>
      <c r="I553" s="4">
        <f t="shared" si="26"/>
        <v>4.425483451</v>
      </c>
      <c r="J553" s="4">
        <f t="shared" si="27"/>
        <v>4.923399551</v>
      </c>
      <c r="K553" s="4">
        <f t="shared" si="28"/>
        <v>1.7642866</v>
      </c>
      <c r="L553" s="4">
        <f t="shared" si="29"/>
        <v>2.161290323</v>
      </c>
      <c r="M553" s="4">
        <f t="shared" si="30"/>
        <v>-0.1836882897</v>
      </c>
      <c r="N553" s="3" t="s">
        <v>79</v>
      </c>
    </row>
    <row r="554" ht="15.75" customHeight="1">
      <c r="A554" s="3" t="s">
        <v>78</v>
      </c>
      <c r="B554" s="3">
        <v>6.40905447E8</v>
      </c>
      <c r="C554" s="4">
        <v>42.78</v>
      </c>
      <c r="D554" s="4">
        <v>61.728</v>
      </c>
      <c r="E554" s="4">
        <v>31.114</v>
      </c>
      <c r="F554" s="5">
        <v>6.7</v>
      </c>
      <c r="G554" s="5">
        <v>3.1</v>
      </c>
      <c r="H554" s="4">
        <f t="shared" si="25"/>
        <v>4.643370918</v>
      </c>
      <c r="I554" s="4">
        <f t="shared" si="26"/>
        <v>4.262325641</v>
      </c>
      <c r="J554" s="4">
        <f t="shared" si="27"/>
        <v>4.452848279</v>
      </c>
      <c r="K554" s="4">
        <f t="shared" si="28"/>
        <v>1.983930064</v>
      </c>
      <c r="L554" s="4">
        <f t="shared" si="29"/>
        <v>2.161290323</v>
      </c>
      <c r="M554" s="4">
        <f t="shared" si="30"/>
        <v>-0.08206220936</v>
      </c>
      <c r="N554" s="3" t="s">
        <v>79</v>
      </c>
    </row>
    <row r="555" ht="15.75" customHeight="1">
      <c r="A555" s="3" t="s">
        <v>78</v>
      </c>
      <c r="B555" s="3">
        <v>6.14139477E8</v>
      </c>
      <c r="C555" s="4">
        <v>50.237</v>
      </c>
      <c r="D555" s="4">
        <v>69.341</v>
      </c>
      <c r="E555" s="4">
        <v>35.334</v>
      </c>
      <c r="F555" s="5">
        <v>6.7</v>
      </c>
      <c r="G555" s="5">
        <v>3.1</v>
      </c>
      <c r="H555" s="4">
        <f t="shared" si="25"/>
        <v>4.854096422</v>
      </c>
      <c r="I555" s="4">
        <f t="shared" si="26"/>
        <v>4.407502689</v>
      </c>
      <c r="J555" s="4">
        <f t="shared" si="27"/>
        <v>4.630799555</v>
      </c>
      <c r="K555" s="4">
        <f t="shared" si="28"/>
        <v>1.962444105</v>
      </c>
      <c r="L555" s="4">
        <f t="shared" si="29"/>
        <v>2.161290323</v>
      </c>
      <c r="M555" s="4">
        <f t="shared" si="30"/>
        <v>-0.09200347389</v>
      </c>
      <c r="N555" s="3" t="s">
        <v>79</v>
      </c>
    </row>
    <row r="556" ht="15.75" customHeight="1">
      <c r="A556" s="3" t="s">
        <v>78</v>
      </c>
      <c r="B556" s="3">
        <v>5.60346411E8</v>
      </c>
      <c r="C556" s="4">
        <v>35.843</v>
      </c>
      <c r="D556" s="4">
        <v>63.355</v>
      </c>
      <c r="E556" s="4">
        <v>31.307</v>
      </c>
      <c r="F556" s="5">
        <v>6.7</v>
      </c>
      <c r="G556" s="5">
        <v>3.1</v>
      </c>
      <c r="H556" s="4">
        <f t="shared" si="25"/>
        <v>3.79051535</v>
      </c>
      <c r="I556" s="4">
        <f t="shared" si="26"/>
        <v>3.549151947</v>
      </c>
      <c r="J556" s="4">
        <f t="shared" si="27"/>
        <v>3.669833648</v>
      </c>
      <c r="K556" s="4">
        <f t="shared" si="28"/>
        <v>2.023668828</v>
      </c>
      <c r="L556" s="4">
        <f t="shared" si="29"/>
        <v>2.161290323</v>
      </c>
      <c r="M556" s="4">
        <f t="shared" si="30"/>
        <v>-0.06367561687</v>
      </c>
      <c r="N556" s="3" t="s">
        <v>79</v>
      </c>
    </row>
    <row r="557" ht="15.75" customHeight="1">
      <c r="A557" s="2" t="s">
        <v>78</v>
      </c>
      <c r="B557" s="3">
        <v>3.52478061E8</v>
      </c>
      <c r="C557" s="4">
        <v>50.61</v>
      </c>
      <c r="D557" s="4">
        <v>76.72</v>
      </c>
      <c r="E557" s="4">
        <v>41.694</v>
      </c>
      <c r="F557" s="5">
        <v>6.7</v>
      </c>
      <c r="G557" s="5">
        <v>3.1</v>
      </c>
      <c r="H557" s="4">
        <f t="shared" si="25"/>
        <v>4.41979927</v>
      </c>
      <c r="I557" s="4">
        <f t="shared" si="26"/>
        <v>3.762915527</v>
      </c>
      <c r="J557" s="4">
        <f t="shared" si="27"/>
        <v>4.091357399</v>
      </c>
      <c r="K557" s="4">
        <f t="shared" si="28"/>
        <v>1.840072912</v>
      </c>
      <c r="L557" s="4">
        <f t="shared" si="29"/>
        <v>2.161290323</v>
      </c>
      <c r="M557" s="4">
        <f t="shared" si="30"/>
        <v>-0.1486229809</v>
      </c>
      <c r="N557" s="3" t="s">
        <v>79</v>
      </c>
    </row>
    <row r="558" ht="15.75" customHeight="1">
      <c r="A558" s="3" t="s">
        <v>78</v>
      </c>
      <c r="B558" s="3">
        <v>3.00756991E8</v>
      </c>
      <c r="C558" s="4">
        <v>38.021</v>
      </c>
      <c r="D558" s="4">
        <v>59.123</v>
      </c>
      <c r="E558" s="4">
        <v>27.508</v>
      </c>
      <c r="F558" s="5">
        <v>6.7</v>
      </c>
      <c r="G558" s="5">
        <v>3.1</v>
      </c>
      <c r="H558" s="4">
        <f t="shared" si="25"/>
        <v>4.30865653</v>
      </c>
      <c r="I558" s="4">
        <f t="shared" si="26"/>
        <v>4.284757162</v>
      </c>
      <c r="J558" s="4">
        <f t="shared" si="27"/>
        <v>4.296706846</v>
      </c>
      <c r="K558" s="4">
        <f t="shared" si="28"/>
        <v>2.149302021</v>
      </c>
      <c r="L558" s="4">
        <f t="shared" si="29"/>
        <v>2.161290323</v>
      </c>
      <c r="M558" s="4">
        <f t="shared" si="30"/>
        <v>-0.005546825998</v>
      </c>
      <c r="N558" s="3" t="s">
        <v>79</v>
      </c>
    </row>
    <row r="559" ht="15.75" customHeight="1">
      <c r="A559" s="3" t="s">
        <v>78</v>
      </c>
      <c r="B559" s="3">
        <v>7.7448231E7</v>
      </c>
      <c r="C559" s="3">
        <v>49.244</v>
      </c>
      <c r="D559" s="3">
        <v>72.45</v>
      </c>
      <c r="E559" s="4">
        <v>33.526</v>
      </c>
      <c r="F559" s="5">
        <v>6.7</v>
      </c>
      <c r="G559" s="5">
        <v>3.1</v>
      </c>
      <c r="H559" s="4">
        <f t="shared" si="25"/>
        <v>4.553965493</v>
      </c>
      <c r="I559" s="4">
        <f t="shared" si="26"/>
        <v>4.553373501</v>
      </c>
      <c r="J559" s="4">
        <f t="shared" si="27"/>
        <v>4.553669497</v>
      </c>
      <c r="K559" s="4">
        <f t="shared" si="28"/>
        <v>2.161009366</v>
      </c>
      <c r="L559" s="4">
        <f t="shared" si="29"/>
        <v>2.161290323</v>
      </c>
      <c r="M559" s="4">
        <f t="shared" si="30"/>
        <v>-0.0001299948981</v>
      </c>
      <c r="N559" s="3" t="s">
        <v>79</v>
      </c>
    </row>
    <row r="560" ht="15.75" customHeight="1">
      <c r="A560" s="3" t="s">
        <v>78</v>
      </c>
      <c r="B560" s="3">
        <v>5.64342561E8</v>
      </c>
      <c r="C560" s="4">
        <v>44.861</v>
      </c>
      <c r="D560" s="4">
        <v>62.731</v>
      </c>
      <c r="E560" s="4">
        <v>31.647</v>
      </c>
      <c r="F560" s="5">
        <v>6.7</v>
      </c>
      <c r="G560" s="5">
        <v>3.1</v>
      </c>
      <c r="H560" s="4">
        <f t="shared" si="25"/>
        <v>4.791390222</v>
      </c>
      <c r="I560" s="4">
        <f t="shared" si="26"/>
        <v>4.394384934</v>
      </c>
      <c r="J560" s="4">
        <f t="shared" si="27"/>
        <v>4.592887578</v>
      </c>
      <c r="K560" s="4">
        <f t="shared" si="28"/>
        <v>1.982210004</v>
      </c>
      <c r="L560" s="4">
        <f t="shared" si="29"/>
        <v>2.161290323</v>
      </c>
      <c r="M560" s="4">
        <f t="shared" si="30"/>
        <v>-0.0828580578</v>
      </c>
      <c r="N560" s="3" t="s">
        <v>79</v>
      </c>
    </row>
    <row r="561" ht="15.75" customHeight="1">
      <c r="A561" s="3" t="s">
        <v>78</v>
      </c>
      <c r="B561" s="3">
        <v>6.47250555E8</v>
      </c>
      <c r="C561" s="4">
        <v>52.862</v>
      </c>
      <c r="D561" s="4">
        <v>80.469</v>
      </c>
      <c r="E561" s="4">
        <v>36.339</v>
      </c>
      <c r="F561" s="5">
        <v>6.7</v>
      </c>
      <c r="G561" s="5">
        <v>3.1</v>
      </c>
      <c r="H561" s="4">
        <f t="shared" si="25"/>
        <v>4.401389355</v>
      </c>
      <c r="I561" s="4">
        <f t="shared" si="26"/>
        <v>4.509540714</v>
      </c>
      <c r="J561" s="4">
        <f t="shared" si="27"/>
        <v>4.455465034</v>
      </c>
      <c r="K561" s="4">
        <f t="shared" si="28"/>
        <v>2.214397754</v>
      </c>
      <c r="L561" s="4">
        <f t="shared" si="29"/>
        <v>2.161290323</v>
      </c>
      <c r="M561" s="4">
        <f t="shared" si="30"/>
        <v>0.02457209536</v>
      </c>
      <c r="N561" s="3" t="s">
        <v>79</v>
      </c>
    </row>
    <row r="562" ht="15.75" customHeight="1">
      <c r="A562" s="3" t="s">
        <v>78</v>
      </c>
      <c r="B562" s="3">
        <v>6.46863674E8</v>
      </c>
      <c r="C562" s="4">
        <v>54.984</v>
      </c>
      <c r="D562" s="4">
        <v>78.754</v>
      </c>
      <c r="E562" s="4">
        <v>37.25</v>
      </c>
      <c r="F562" s="5">
        <v>6.7</v>
      </c>
      <c r="G562" s="5">
        <v>3.1</v>
      </c>
      <c r="H562" s="4">
        <f t="shared" si="25"/>
        <v>4.677766209</v>
      </c>
      <c r="I562" s="4">
        <f t="shared" si="26"/>
        <v>4.575849664</v>
      </c>
      <c r="J562" s="4">
        <f t="shared" si="27"/>
        <v>4.626807937</v>
      </c>
      <c r="K562" s="4">
        <f t="shared" si="28"/>
        <v>2.114201342</v>
      </c>
      <c r="L562" s="4">
        <f t="shared" si="29"/>
        <v>2.161290323</v>
      </c>
      <c r="M562" s="4">
        <f t="shared" si="30"/>
        <v>-0.02178743865</v>
      </c>
      <c r="N562" s="3" t="s">
        <v>79</v>
      </c>
    </row>
    <row r="563" ht="15.75" customHeight="1">
      <c r="A563" s="14" t="s">
        <v>80</v>
      </c>
      <c r="B563" s="15">
        <v>6.42574289E8</v>
      </c>
      <c r="C563" s="15">
        <v>58.809</v>
      </c>
      <c r="D563" s="15">
        <v>105.096</v>
      </c>
      <c r="E563" s="15">
        <v>40.5</v>
      </c>
      <c r="F563" s="16">
        <v>8.7</v>
      </c>
      <c r="G563" s="16">
        <v>3.7</v>
      </c>
      <c r="H563" s="15">
        <v>4.868294702</v>
      </c>
      <c r="I563" s="15">
        <v>5.372674074</v>
      </c>
      <c r="J563" s="15">
        <v>5.12048439</v>
      </c>
      <c r="K563" s="15">
        <v>2.594963</v>
      </c>
      <c r="L563" s="15">
        <v>2.35135135</v>
      </c>
      <c r="M563" s="15">
        <v>0.103604938</v>
      </c>
      <c r="N563" s="14" t="s">
        <v>81</v>
      </c>
    </row>
    <row r="564" ht="15.75" customHeight="1">
      <c r="A564" s="14" t="s">
        <v>80</v>
      </c>
      <c r="B564" s="15">
        <v>6.10691695E8</v>
      </c>
      <c r="C564" s="15">
        <v>71.672</v>
      </c>
      <c r="D564" s="15">
        <v>135.831</v>
      </c>
      <c r="E564" s="15">
        <v>58.447</v>
      </c>
      <c r="F564" s="16">
        <v>8.7</v>
      </c>
      <c r="G564" s="16">
        <v>3.7</v>
      </c>
      <c r="H564" s="15">
        <v>4.590604501</v>
      </c>
      <c r="I564" s="15">
        <v>4.537211491</v>
      </c>
      <c r="J564" s="15">
        <v>4.563908</v>
      </c>
      <c r="K564" s="15">
        <v>2.324003</v>
      </c>
      <c r="L564" s="15">
        <v>2.35135135</v>
      </c>
      <c r="M564" s="15">
        <v>-0.011630932</v>
      </c>
      <c r="N564" s="14" t="s">
        <v>81</v>
      </c>
    </row>
    <row r="565" ht="15.75" customHeight="1">
      <c r="A565" s="14" t="s">
        <v>80</v>
      </c>
      <c r="B565" s="15">
        <v>6.09848473E8</v>
      </c>
      <c r="C565" s="15">
        <v>73.75</v>
      </c>
      <c r="D565" s="15">
        <v>127.342</v>
      </c>
      <c r="E565" s="15">
        <v>55.954</v>
      </c>
      <c r="F565" s="16">
        <v>8.7</v>
      </c>
      <c r="G565" s="16">
        <v>3.7</v>
      </c>
      <c r="H565" s="15">
        <v>5.038596849</v>
      </c>
      <c r="I565" s="15">
        <v>4.876773778</v>
      </c>
      <c r="J565" s="15">
        <v>4.95768531</v>
      </c>
      <c r="K565" s="15">
        <v>2.275834</v>
      </c>
      <c r="L565" s="15">
        <v>2.35135135</v>
      </c>
      <c r="M565" s="15">
        <v>-0.032116694</v>
      </c>
      <c r="N565" s="14" t="s">
        <v>81</v>
      </c>
    </row>
    <row r="566" ht="15.75" customHeight="1">
      <c r="A566" s="14" t="s">
        <v>80</v>
      </c>
      <c r="B566" s="15">
        <v>5.58834551E8</v>
      </c>
      <c r="C566" s="15">
        <v>89.029</v>
      </c>
      <c r="D566" s="15">
        <v>154.216</v>
      </c>
      <c r="E566" s="15">
        <v>70.144</v>
      </c>
      <c r="F566" s="16">
        <v>8.7</v>
      </c>
      <c r="G566" s="16">
        <v>3.7</v>
      </c>
      <c r="H566" s="15">
        <v>5.022515822</v>
      </c>
      <c r="I566" s="15">
        <v>4.696157904</v>
      </c>
      <c r="J566" s="15">
        <v>4.85933686</v>
      </c>
      <c r="K566" s="15">
        <v>2.198563</v>
      </c>
      <c r="L566" s="15">
        <v>2.35135135</v>
      </c>
      <c r="M566" s="15">
        <v>-0.064978973</v>
      </c>
      <c r="N566" s="14" t="s">
        <v>81</v>
      </c>
    </row>
    <row r="567" ht="15.75" customHeight="1">
      <c r="A567" s="14" t="s">
        <v>80</v>
      </c>
      <c r="B567" s="15">
        <v>4.94702871E8</v>
      </c>
      <c r="C567" s="15">
        <v>53.79</v>
      </c>
      <c r="D567" s="15">
        <v>98.377</v>
      </c>
      <c r="E567" s="15">
        <v>45.844</v>
      </c>
      <c r="F567" s="16">
        <v>8.7</v>
      </c>
      <c r="G567" s="16">
        <v>3.7</v>
      </c>
      <c r="H567" s="15">
        <v>4.756935056</v>
      </c>
      <c r="I567" s="15">
        <v>4.341309659</v>
      </c>
      <c r="J567" s="15">
        <v>4.54912236</v>
      </c>
      <c r="K567" s="15">
        <v>2.145908</v>
      </c>
      <c r="L567" s="15">
        <v>2.35135135</v>
      </c>
      <c r="M567" s="15">
        <v>-0.087372519</v>
      </c>
      <c r="N567" s="14" t="s">
        <v>81</v>
      </c>
    </row>
    <row r="568" ht="15.75" customHeight="1">
      <c r="A568" s="14" t="s">
        <v>80</v>
      </c>
      <c r="B568" s="15">
        <v>3.06334631E8</v>
      </c>
      <c r="C568" s="15">
        <v>57.334</v>
      </c>
      <c r="D568" s="15">
        <v>105.591</v>
      </c>
      <c r="E568" s="15">
        <v>45.162</v>
      </c>
      <c r="F568" s="16">
        <v>8.7</v>
      </c>
      <c r="G568" s="16">
        <v>3.7</v>
      </c>
      <c r="H568" s="15">
        <v>4.723942381</v>
      </c>
      <c r="I568" s="15">
        <v>4.697218901</v>
      </c>
      <c r="J568" s="15">
        <v>4.71058064</v>
      </c>
      <c r="K568" s="15">
        <v>2.33805</v>
      </c>
      <c r="L568" s="15">
        <v>2.35135135</v>
      </c>
      <c r="M568" s="15">
        <v>-0.005657029</v>
      </c>
      <c r="N568" s="14" t="s">
        <v>81</v>
      </c>
    </row>
    <row r="569" ht="15.75" customHeight="1">
      <c r="A569" s="14" t="s">
        <v>80</v>
      </c>
      <c r="B569" s="15">
        <v>2.98166651E8</v>
      </c>
      <c r="C569" s="15">
        <v>55.875</v>
      </c>
      <c r="D569" s="15">
        <v>114.532</v>
      </c>
      <c r="E569" s="15">
        <v>51.411</v>
      </c>
      <c r="F569" s="16">
        <v>8.7</v>
      </c>
      <c r="G569" s="16">
        <v>3.7</v>
      </c>
      <c r="H569" s="15">
        <v>4.244337827</v>
      </c>
      <c r="I569" s="15">
        <v>4.021269767</v>
      </c>
      <c r="J569" s="15">
        <v>4.1328038</v>
      </c>
      <c r="K569" s="15">
        <v>2.227772</v>
      </c>
      <c r="L569" s="15">
        <v>2.35135135</v>
      </c>
      <c r="M569" s="15">
        <v>-0.052556622</v>
      </c>
      <c r="N569" s="14" t="s">
        <v>81</v>
      </c>
    </row>
    <row r="570" ht="15.75" customHeight="1">
      <c r="A570" s="14" t="s">
        <v>80</v>
      </c>
      <c r="B570" s="15">
        <v>2.70914891E8</v>
      </c>
      <c r="C570" s="15">
        <v>58.867</v>
      </c>
      <c r="D570" s="15">
        <v>108.904</v>
      </c>
      <c r="E570" s="15">
        <v>45.238</v>
      </c>
      <c r="F570" s="16">
        <v>8.7</v>
      </c>
      <c r="G570" s="16">
        <v>3.7</v>
      </c>
      <c r="H570" s="15">
        <v>4.702700544</v>
      </c>
      <c r="I570" s="15">
        <v>4.814711084</v>
      </c>
      <c r="J570" s="15">
        <v>4.75870581</v>
      </c>
      <c r="K570" s="15">
        <v>2.407357</v>
      </c>
      <c r="L570" s="15">
        <v>2.35135135</v>
      </c>
      <c r="M570" s="15">
        <v>0.023818344</v>
      </c>
      <c r="N570" s="14" t="s">
        <v>81</v>
      </c>
    </row>
    <row r="571" ht="15.75" customHeight="1">
      <c r="A571" s="14" t="s">
        <v>80</v>
      </c>
      <c r="B571" s="15">
        <v>1.80891791E8</v>
      </c>
      <c r="C571" s="15">
        <v>60.885</v>
      </c>
      <c r="D571" s="15">
        <v>117.655</v>
      </c>
      <c r="E571" s="15">
        <v>50.99</v>
      </c>
      <c r="F571" s="16">
        <v>8.7</v>
      </c>
      <c r="G571" s="16">
        <v>3.7</v>
      </c>
      <c r="H571" s="15">
        <v>4.502141855</v>
      </c>
      <c r="I571" s="15">
        <v>4.418013336</v>
      </c>
      <c r="J571" s="15">
        <v>4.4600776</v>
      </c>
      <c r="K571" s="15">
        <v>2.307413</v>
      </c>
      <c r="L571" s="15">
        <v>2.35135135</v>
      </c>
      <c r="M571" s="15">
        <v>-0.018686332</v>
      </c>
      <c r="N571" s="14" t="s">
        <v>81</v>
      </c>
    </row>
    <row r="572" ht="15.75" customHeight="1">
      <c r="A572" s="14" t="s">
        <v>80</v>
      </c>
      <c r="B572" s="15">
        <v>7.1930571E7</v>
      </c>
      <c r="C572" s="15">
        <v>63.059</v>
      </c>
      <c r="D572" s="15">
        <v>104.817</v>
      </c>
      <c r="E572" s="15">
        <v>48.282</v>
      </c>
      <c r="F572" s="16">
        <v>8.7</v>
      </c>
      <c r="G572" s="16">
        <v>3.7</v>
      </c>
      <c r="H572" s="15">
        <v>5.234010704</v>
      </c>
      <c r="I572" s="15">
        <v>4.832407522</v>
      </c>
      <c r="J572" s="15">
        <v>5.03320911</v>
      </c>
      <c r="K572" s="15">
        <v>2.170933</v>
      </c>
      <c r="L572" s="15">
        <v>2.35135135</v>
      </c>
      <c r="M572" s="15">
        <v>-0.07672953</v>
      </c>
      <c r="N572" s="14" t="s">
        <v>81</v>
      </c>
    </row>
    <row r="573" ht="15.75" customHeight="1">
      <c r="A573" s="3" t="s">
        <v>82</v>
      </c>
      <c r="B573" s="3">
        <v>3.12297591E8</v>
      </c>
      <c r="C573" s="9">
        <v>32.261</v>
      </c>
      <c r="D573" s="9">
        <v>98.9</v>
      </c>
      <c r="F573" s="5">
        <v>21.1</v>
      </c>
      <c r="G573" s="5">
        <v>21.9</v>
      </c>
      <c r="H573" s="4">
        <f t="shared" ref="H573:H688" si="31">(C573/D573)*F573</f>
        <v>6.882781598</v>
      </c>
      <c r="I573" s="4" t="str">
        <f t="shared" ref="I573:I688" si="32">(C573/E573)*G573</f>
        <v>#DIV/0!</v>
      </c>
      <c r="J573" s="4" t="str">
        <f t="shared" ref="J573:J688" si="33">AVERAGE(H573:I573)</f>
        <v>#DIV/0!</v>
      </c>
      <c r="K573" s="4" t="str">
        <f t="shared" ref="K573:K688" si="34">D573/E573</f>
        <v>#DIV/0!</v>
      </c>
      <c r="L573" s="4">
        <f t="shared" ref="L573:L688" si="35">F573/G573</f>
        <v>0.9634703196</v>
      </c>
      <c r="M573" s="4" t="str">
        <f t="shared" ref="M573:M688" si="36">(K573-L573)/L573</f>
        <v>#DIV/0!</v>
      </c>
      <c r="N573" s="3" t="s">
        <v>83</v>
      </c>
    </row>
    <row r="574" ht="15.75" customHeight="1">
      <c r="A574" s="3" t="s">
        <v>82</v>
      </c>
      <c r="B574" s="3">
        <v>6.13509487E8</v>
      </c>
      <c r="F574" s="5">
        <v>21.1</v>
      </c>
      <c r="G574" s="5">
        <v>21.9</v>
      </c>
      <c r="H574" s="4" t="str">
        <f t="shared" si="31"/>
        <v>#DIV/0!</v>
      </c>
      <c r="I574" s="4" t="str">
        <f t="shared" si="32"/>
        <v>#DIV/0!</v>
      </c>
      <c r="J574" s="4" t="str">
        <f t="shared" si="33"/>
        <v>#DIV/0!</v>
      </c>
      <c r="K574" s="4" t="str">
        <f t="shared" si="34"/>
        <v>#DIV/0!</v>
      </c>
      <c r="L574" s="4">
        <f t="shared" si="35"/>
        <v>0.9634703196</v>
      </c>
      <c r="M574" s="4" t="str">
        <f t="shared" si="36"/>
        <v>#DIV/0!</v>
      </c>
      <c r="N574" s="3" t="s">
        <v>83</v>
      </c>
    </row>
    <row r="575" ht="15.75" customHeight="1">
      <c r="A575" s="3" t="s">
        <v>82</v>
      </c>
      <c r="B575" s="3">
        <v>4.89903941E8</v>
      </c>
      <c r="F575" s="5">
        <v>21.1</v>
      </c>
      <c r="G575" s="5">
        <v>21.9</v>
      </c>
      <c r="H575" s="4" t="str">
        <f t="shared" si="31"/>
        <v>#DIV/0!</v>
      </c>
      <c r="I575" s="4" t="str">
        <f t="shared" si="32"/>
        <v>#DIV/0!</v>
      </c>
      <c r="J575" s="4" t="str">
        <f t="shared" si="33"/>
        <v>#DIV/0!</v>
      </c>
      <c r="K575" s="4" t="str">
        <f t="shared" si="34"/>
        <v>#DIV/0!</v>
      </c>
      <c r="L575" s="4">
        <f t="shared" si="35"/>
        <v>0.9634703196</v>
      </c>
      <c r="M575" s="4" t="str">
        <f t="shared" si="36"/>
        <v>#DIV/0!</v>
      </c>
      <c r="N575" s="3" t="s">
        <v>83</v>
      </c>
    </row>
    <row r="576" ht="15.75" customHeight="1">
      <c r="A576" s="3" t="s">
        <v>82</v>
      </c>
      <c r="B576" s="3">
        <v>6.40955749E8</v>
      </c>
      <c r="C576" s="4">
        <v>39.679</v>
      </c>
      <c r="D576" s="4">
        <v>82.356</v>
      </c>
      <c r="E576" s="4">
        <v>137.424</v>
      </c>
      <c r="F576" s="5">
        <v>21.1</v>
      </c>
      <c r="G576" s="5">
        <v>21.9</v>
      </c>
      <c r="H576" s="4">
        <f t="shared" si="31"/>
        <v>10.16594905</v>
      </c>
      <c r="I576" s="4">
        <f t="shared" si="32"/>
        <v>6.323277593</v>
      </c>
      <c r="J576" s="4">
        <f t="shared" si="33"/>
        <v>8.244613322</v>
      </c>
      <c r="K576" s="4">
        <f t="shared" si="34"/>
        <v>0.5992839679</v>
      </c>
      <c r="L576" s="4">
        <f t="shared" si="35"/>
        <v>0.9634703196</v>
      </c>
      <c r="M576" s="4">
        <f t="shared" si="36"/>
        <v>-0.3779943651</v>
      </c>
      <c r="N576" s="3" t="s">
        <v>83</v>
      </c>
    </row>
    <row r="577" ht="15.75" customHeight="1">
      <c r="A577" s="3" t="s">
        <v>82</v>
      </c>
      <c r="B577" s="3">
        <v>2.04680661E8</v>
      </c>
      <c r="F577" s="5">
        <v>21.1</v>
      </c>
      <c r="G577" s="5">
        <v>21.9</v>
      </c>
      <c r="H577" s="4" t="str">
        <f t="shared" si="31"/>
        <v>#DIV/0!</v>
      </c>
      <c r="I577" s="4" t="str">
        <f t="shared" si="32"/>
        <v>#DIV/0!</v>
      </c>
      <c r="J577" s="4" t="str">
        <f t="shared" si="33"/>
        <v>#DIV/0!</v>
      </c>
      <c r="K577" s="4" t="str">
        <f t="shared" si="34"/>
        <v>#DIV/0!</v>
      </c>
      <c r="L577" s="4">
        <f t="shared" si="35"/>
        <v>0.9634703196</v>
      </c>
      <c r="M577" s="4" t="str">
        <f t="shared" si="36"/>
        <v>#DIV/0!</v>
      </c>
      <c r="N577" s="3" t="s">
        <v>83</v>
      </c>
    </row>
    <row r="578" ht="15.75" customHeight="1">
      <c r="A578" s="3" t="s">
        <v>82</v>
      </c>
      <c r="B578" s="3">
        <v>6.46583581E8</v>
      </c>
      <c r="C578" s="4">
        <v>36.157</v>
      </c>
      <c r="D578" s="4">
        <v>98.412</v>
      </c>
      <c r="E578" s="4">
        <v>157.544</v>
      </c>
      <c r="F578" s="5">
        <v>21.1</v>
      </c>
      <c r="G578" s="5">
        <v>21.9</v>
      </c>
      <c r="H578" s="4">
        <f t="shared" si="31"/>
        <v>7.752232451</v>
      </c>
      <c r="I578" s="4">
        <f t="shared" si="32"/>
        <v>5.026140634</v>
      </c>
      <c r="J578" s="4">
        <f t="shared" si="33"/>
        <v>6.389186543</v>
      </c>
      <c r="K578" s="4">
        <f t="shared" si="34"/>
        <v>0.624663586</v>
      </c>
      <c r="L578" s="4">
        <f t="shared" si="35"/>
        <v>0.9634703196</v>
      </c>
      <c r="M578" s="4">
        <f t="shared" si="36"/>
        <v>-0.3516524865</v>
      </c>
      <c r="N578" s="3" t="s">
        <v>83</v>
      </c>
    </row>
    <row r="579" ht="15.75" customHeight="1">
      <c r="A579" s="3" t="s">
        <v>82</v>
      </c>
      <c r="B579" s="3">
        <v>2.33296381E8</v>
      </c>
      <c r="F579" s="5">
        <v>21.1</v>
      </c>
      <c r="G579" s="5">
        <v>21.9</v>
      </c>
      <c r="H579" s="4" t="str">
        <f t="shared" si="31"/>
        <v>#DIV/0!</v>
      </c>
      <c r="I579" s="4" t="str">
        <f t="shared" si="32"/>
        <v>#DIV/0!</v>
      </c>
      <c r="J579" s="4" t="str">
        <f t="shared" si="33"/>
        <v>#DIV/0!</v>
      </c>
      <c r="K579" s="4" t="str">
        <f t="shared" si="34"/>
        <v>#DIV/0!</v>
      </c>
      <c r="L579" s="4">
        <f t="shared" si="35"/>
        <v>0.9634703196</v>
      </c>
      <c r="M579" s="4" t="str">
        <f t="shared" si="36"/>
        <v>#DIV/0!</v>
      </c>
      <c r="N579" s="3" t="s">
        <v>83</v>
      </c>
    </row>
    <row r="580" ht="15.75" customHeight="1">
      <c r="A580" s="3" t="s">
        <v>82</v>
      </c>
      <c r="B580" s="3">
        <v>3.46265331E8</v>
      </c>
      <c r="F580" s="5">
        <v>21.1</v>
      </c>
      <c r="G580" s="5">
        <v>21.9</v>
      </c>
      <c r="H580" s="4" t="str">
        <f t="shared" si="31"/>
        <v>#DIV/0!</v>
      </c>
      <c r="I580" s="4" t="str">
        <f t="shared" si="32"/>
        <v>#DIV/0!</v>
      </c>
      <c r="J580" s="4" t="str">
        <f t="shared" si="33"/>
        <v>#DIV/0!</v>
      </c>
      <c r="K580" s="4" t="str">
        <f t="shared" si="34"/>
        <v>#DIV/0!</v>
      </c>
      <c r="L580" s="4">
        <f t="shared" si="35"/>
        <v>0.9634703196</v>
      </c>
      <c r="M580" s="4" t="str">
        <f t="shared" si="36"/>
        <v>#DIV/0!</v>
      </c>
      <c r="N580" s="3" t="s">
        <v>83</v>
      </c>
    </row>
    <row r="581" ht="15.75" customHeight="1">
      <c r="A581" s="3" t="s">
        <v>82</v>
      </c>
      <c r="B581" s="3">
        <v>6.42425518E8</v>
      </c>
      <c r="C581" s="4">
        <v>41.135</v>
      </c>
      <c r="D581" s="4">
        <v>99.862</v>
      </c>
      <c r="E581" s="4">
        <v>164.037</v>
      </c>
      <c r="F581" s="5">
        <v>21.1</v>
      </c>
      <c r="G581" s="5">
        <v>21.9</v>
      </c>
      <c r="H581" s="4">
        <f t="shared" si="31"/>
        <v>8.691479241</v>
      </c>
      <c r="I581" s="4">
        <f t="shared" si="32"/>
        <v>5.491788438</v>
      </c>
      <c r="J581" s="4">
        <f t="shared" si="33"/>
        <v>7.09163384</v>
      </c>
      <c r="K581" s="4">
        <f t="shared" si="34"/>
        <v>0.6087772881</v>
      </c>
      <c r="L581" s="4">
        <f t="shared" si="35"/>
        <v>0.9634703196</v>
      </c>
      <c r="M581" s="4">
        <f t="shared" si="36"/>
        <v>-0.3681411086</v>
      </c>
      <c r="N581" s="3" t="s">
        <v>83</v>
      </c>
    </row>
    <row r="582" ht="15.75" customHeight="1">
      <c r="A582" s="3" t="s">
        <v>82</v>
      </c>
      <c r="B582" s="3">
        <v>6.29941528E8</v>
      </c>
      <c r="C582" s="4">
        <v>36.056</v>
      </c>
      <c r="D582" s="4">
        <v>62.414</v>
      </c>
      <c r="E582" s="4">
        <v>139.267</v>
      </c>
      <c r="F582" s="5">
        <v>21.1</v>
      </c>
      <c r="G582" s="5">
        <v>21.9</v>
      </c>
      <c r="H582" s="4">
        <f t="shared" si="31"/>
        <v>12.18927805</v>
      </c>
      <c r="I582" s="4">
        <f t="shared" si="32"/>
        <v>5.669874414</v>
      </c>
      <c r="J582" s="4">
        <f t="shared" si="33"/>
        <v>8.92957623</v>
      </c>
      <c r="K582" s="4">
        <f t="shared" si="34"/>
        <v>0.4481607272</v>
      </c>
      <c r="L582" s="4">
        <f t="shared" si="35"/>
        <v>0.9634703196</v>
      </c>
      <c r="M582" s="4">
        <f t="shared" si="36"/>
        <v>-0.5348473968</v>
      </c>
      <c r="N582" s="3" t="s">
        <v>83</v>
      </c>
    </row>
    <row r="583" ht="15.75" customHeight="1">
      <c r="A583" s="3" t="s">
        <v>82</v>
      </c>
      <c r="B583" s="3">
        <v>1.23422231E8</v>
      </c>
      <c r="F583" s="5">
        <v>21.1</v>
      </c>
      <c r="G583" s="5">
        <v>21.9</v>
      </c>
      <c r="H583" s="4" t="str">
        <f t="shared" si="31"/>
        <v>#DIV/0!</v>
      </c>
      <c r="I583" s="4" t="str">
        <f t="shared" si="32"/>
        <v>#DIV/0!</v>
      </c>
      <c r="J583" s="4" t="str">
        <f t="shared" si="33"/>
        <v>#DIV/0!</v>
      </c>
      <c r="K583" s="4" t="str">
        <f t="shared" si="34"/>
        <v>#DIV/0!</v>
      </c>
      <c r="L583" s="4">
        <f t="shared" si="35"/>
        <v>0.9634703196</v>
      </c>
      <c r="M583" s="4" t="str">
        <f t="shared" si="36"/>
        <v>#DIV/0!</v>
      </c>
      <c r="N583" s="3" t="s">
        <v>83</v>
      </c>
    </row>
    <row r="584" ht="15.75" customHeight="1">
      <c r="A584" s="3" t="s">
        <v>82</v>
      </c>
      <c r="B584" s="3">
        <v>6.471853E8</v>
      </c>
      <c r="C584" s="4">
        <v>45.774</v>
      </c>
      <c r="D584" s="4">
        <v>129.244</v>
      </c>
      <c r="E584" s="4">
        <v>179.011</v>
      </c>
      <c r="F584" s="5">
        <v>21.1</v>
      </c>
      <c r="G584" s="5">
        <v>21.9</v>
      </c>
      <c r="H584" s="4">
        <f t="shared" si="31"/>
        <v>7.472930271</v>
      </c>
      <c r="I584" s="4">
        <f t="shared" si="32"/>
        <v>5.599938551</v>
      </c>
      <c r="J584" s="4">
        <f t="shared" si="33"/>
        <v>6.536434411</v>
      </c>
      <c r="K584" s="4">
        <f t="shared" si="34"/>
        <v>0.7219891515</v>
      </c>
      <c r="L584" s="4">
        <f t="shared" si="35"/>
        <v>0.9634703196</v>
      </c>
      <c r="M584" s="4">
        <f t="shared" si="36"/>
        <v>-0.2506368522</v>
      </c>
      <c r="N584" s="3" t="s">
        <v>83</v>
      </c>
    </row>
    <row r="585" ht="15.75" customHeight="1">
      <c r="A585" s="3" t="s">
        <v>82</v>
      </c>
      <c r="B585" s="3">
        <v>6.12381677E8</v>
      </c>
      <c r="F585" s="5">
        <v>21.1</v>
      </c>
      <c r="G585" s="5">
        <v>21.9</v>
      </c>
      <c r="H585" s="4" t="str">
        <f t="shared" si="31"/>
        <v>#DIV/0!</v>
      </c>
      <c r="I585" s="4" t="str">
        <f t="shared" si="32"/>
        <v>#DIV/0!</v>
      </c>
      <c r="J585" s="4" t="str">
        <f t="shared" si="33"/>
        <v>#DIV/0!</v>
      </c>
      <c r="K585" s="4" t="str">
        <f t="shared" si="34"/>
        <v>#DIV/0!</v>
      </c>
      <c r="L585" s="4">
        <f t="shared" si="35"/>
        <v>0.9634703196</v>
      </c>
      <c r="M585" s="4" t="str">
        <f t="shared" si="36"/>
        <v>#DIV/0!</v>
      </c>
      <c r="N585" s="3" t="s">
        <v>83</v>
      </c>
    </row>
    <row r="586" ht="15.75" customHeight="1">
      <c r="A586" s="3" t="s">
        <v>82</v>
      </c>
      <c r="B586" s="3">
        <v>2.70011621E8</v>
      </c>
      <c r="F586" s="5">
        <v>21.1</v>
      </c>
      <c r="G586" s="5">
        <v>21.9</v>
      </c>
      <c r="H586" s="4" t="str">
        <f t="shared" si="31"/>
        <v>#DIV/0!</v>
      </c>
      <c r="I586" s="4" t="str">
        <f t="shared" si="32"/>
        <v>#DIV/0!</v>
      </c>
      <c r="J586" s="4" t="str">
        <f t="shared" si="33"/>
        <v>#DIV/0!</v>
      </c>
      <c r="K586" s="4" t="str">
        <f t="shared" si="34"/>
        <v>#DIV/0!</v>
      </c>
      <c r="L586" s="4">
        <f t="shared" si="35"/>
        <v>0.9634703196</v>
      </c>
      <c r="M586" s="4" t="str">
        <f t="shared" si="36"/>
        <v>#DIV/0!</v>
      </c>
      <c r="N586" s="3" t="s">
        <v>83</v>
      </c>
    </row>
    <row r="587" ht="15.75" customHeight="1">
      <c r="A587" s="3" t="s">
        <v>82</v>
      </c>
      <c r="B587" s="3">
        <v>8.6793021E7</v>
      </c>
      <c r="F587" s="5">
        <v>21.1</v>
      </c>
      <c r="G587" s="5">
        <v>21.9</v>
      </c>
      <c r="H587" s="4" t="str">
        <f t="shared" si="31"/>
        <v>#DIV/0!</v>
      </c>
      <c r="I587" s="4" t="str">
        <f t="shared" si="32"/>
        <v>#DIV/0!</v>
      </c>
      <c r="J587" s="4" t="str">
        <f t="shared" si="33"/>
        <v>#DIV/0!</v>
      </c>
      <c r="K587" s="4" t="str">
        <f t="shared" si="34"/>
        <v>#DIV/0!</v>
      </c>
      <c r="L587" s="4">
        <f t="shared" si="35"/>
        <v>0.9634703196</v>
      </c>
      <c r="M587" s="4" t="str">
        <f t="shared" si="36"/>
        <v>#DIV/0!</v>
      </c>
      <c r="N587" s="3" t="s">
        <v>83</v>
      </c>
    </row>
    <row r="588" ht="15.75" customHeight="1">
      <c r="A588" s="6" t="s">
        <v>84</v>
      </c>
      <c r="B588" s="3">
        <v>6.26824251E8</v>
      </c>
      <c r="C588" s="4">
        <v>22.539</v>
      </c>
      <c r="D588" s="4">
        <v>61.77</v>
      </c>
      <c r="E588" s="4">
        <v>24.486</v>
      </c>
      <c r="F588" s="5">
        <v>19.1</v>
      </c>
      <c r="G588" s="5">
        <v>5.4</v>
      </c>
      <c r="H588" s="4">
        <f t="shared" si="31"/>
        <v>6.969320058</v>
      </c>
      <c r="I588" s="4">
        <f t="shared" si="32"/>
        <v>4.970619946</v>
      </c>
      <c r="J588" s="4">
        <f t="shared" si="33"/>
        <v>5.969970002</v>
      </c>
      <c r="K588" s="4">
        <f t="shared" si="34"/>
        <v>2.522666013</v>
      </c>
      <c r="L588" s="4">
        <f t="shared" si="35"/>
        <v>3.537037037</v>
      </c>
      <c r="M588" s="4">
        <f t="shared" si="36"/>
        <v>-0.2867855251</v>
      </c>
      <c r="N588" s="3" t="s">
        <v>85</v>
      </c>
    </row>
    <row r="589" ht="15.75" customHeight="1">
      <c r="A589" s="3" t="s">
        <v>84</v>
      </c>
      <c r="B589" s="3">
        <v>5.92380041E8</v>
      </c>
      <c r="C589" s="4">
        <v>34.49</v>
      </c>
      <c r="D589" s="4">
        <v>74.632</v>
      </c>
      <c r="E589" s="4">
        <v>37.106</v>
      </c>
      <c r="F589" s="5">
        <v>19.1</v>
      </c>
      <c r="G589" s="5">
        <v>5.4</v>
      </c>
      <c r="H589" s="4">
        <f t="shared" si="31"/>
        <v>8.826763319</v>
      </c>
      <c r="I589" s="4">
        <f t="shared" si="32"/>
        <v>5.019296071</v>
      </c>
      <c r="J589" s="4">
        <f t="shared" si="33"/>
        <v>6.923029695</v>
      </c>
      <c r="K589" s="4">
        <f t="shared" si="34"/>
        <v>2.011318924</v>
      </c>
      <c r="L589" s="4">
        <f t="shared" si="35"/>
        <v>3.537037037</v>
      </c>
      <c r="M589" s="4">
        <f t="shared" si="36"/>
        <v>-0.4313548591</v>
      </c>
      <c r="N589" s="3" t="s">
        <v>85</v>
      </c>
    </row>
    <row r="590" ht="15.75" customHeight="1">
      <c r="A590" s="3" t="s">
        <v>84</v>
      </c>
      <c r="B590" s="3">
        <v>2.50868151E8</v>
      </c>
      <c r="C590" s="9">
        <v>43.681</v>
      </c>
      <c r="D590" s="9">
        <v>73.799</v>
      </c>
      <c r="E590" s="9">
        <v>29.753</v>
      </c>
      <c r="F590" s="5">
        <v>19.1</v>
      </c>
      <c r="G590" s="5">
        <v>5.4</v>
      </c>
      <c r="H590" s="4">
        <f t="shared" si="31"/>
        <v>11.30512744</v>
      </c>
      <c r="I590" s="4">
        <f t="shared" si="32"/>
        <v>7.927852654</v>
      </c>
      <c r="J590" s="4">
        <f t="shared" si="33"/>
        <v>9.616490047</v>
      </c>
      <c r="K590" s="4">
        <f t="shared" si="34"/>
        <v>2.480388532</v>
      </c>
      <c r="L590" s="4">
        <f t="shared" si="35"/>
        <v>3.537037037</v>
      </c>
      <c r="M590" s="4">
        <f t="shared" si="36"/>
        <v>-0.2987383207</v>
      </c>
      <c r="N590" s="3" t="s">
        <v>85</v>
      </c>
    </row>
    <row r="591" ht="15.75" customHeight="1">
      <c r="A591" s="3" t="s">
        <v>84</v>
      </c>
      <c r="B591" s="3">
        <v>1.26202811E8</v>
      </c>
      <c r="C591" s="9">
        <v>32.5</v>
      </c>
      <c r="D591" s="9">
        <v>79.531</v>
      </c>
      <c r="E591" s="9">
        <v>33.354</v>
      </c>
      <c r="F591" s="5">
        <v>19.1</v>
      </c>
      <c r="G591" s="5">
        <v>5.4</v>
      </c>
      <c r="H591" s="4">
        <f t="shared" si="31"/>
        <v>7.80513259</v>
      </c>
      <c r="I591" s="4">
        <f t="shared" si="32"/>
        <v>5.261737723</v>
      </c>
      <c r="J591" s="4">
        <f t="shared" si="33"/>
        <v>6.533435156</v>
      </c>
      <c r="K591" s="4">
        <f t="shared" si="34"/>
        <v>2.38445164</v>
      </c>
      <c r="L591" s="4">
        <f t="shared" si="35"/>
        <v>3.537037037</v>
      </c>
      <c r="M591" s="4">
        <f t="shared" si="36"/>
        <v>-0.32586184</v>
      </c>
      <c r="N591" s="3" t="s">
        <v>85</v>
      </c>
    </row>
    <row r="592" ht="15.75" customHeight="1">
      <c r="A592" s="3" t="s">
        <v>84</v>
      </c>
      <c r="B592" s="3">
        <v>3.66773021E8</v>
      </c>
      <c r="C592" s="4">
        <v>45.646</v>
      </c>
      <c r="D592" s="4">
        <v>88.349</v>
      </c>
      <c r="E592" s="4">
        <v>34.849</v>
      </c>
      <c r="F592" s="5">
        <v>19.1</v>
      </c>
      <c r="G592" s="5">
        <v>5.4</v>
      </c>
      <c r="H592" s="4">
        <f t="shared" si="31"/>
        <v>9.868120748</v>
      </c>
      <c r="I592" s="4">
        <f t="shared" si="32"/>
        <v>7.073040833</v>
      </c>
      <c r="J592" s="4">
        <f t="shared" si="33"/>
        <v>8.470580791</v>
      </c>
      <c r="K592" s="4">
        <f t="shared" si="34"/>
        <v>2.535194697</v>
      </c>
      <c r="L592" s="4">
        <f t="shared" si="35"/>
        <v>3.537037037</v>
      </c>
      <c r="M592" s="4">
        <f t="shared" si="36"/>
        <v>-0.2832433841</v>
      </c>
      <c r="N592" s="3" t="s">
        <v>85</v>
      </c>
    </row>
    <row r="593" ht="15.75" customHeight="1">
      <c r="A593" s="3" t="s">
        <v>84</v>
      </c>
      <c r="B593" s="3">
        <v>1.29370941E8</v>
      </c>
      <c r="C593" s="9">
        <v>40.544</v>
      </c>
      <c r="D593" s="9">
        <v>84.444</v>
      </c>
      <c r="E593" s="9">
        <v>29.533</v>
      </c>
      <c r="F593" s="5">
        <v>19.1</v>
      </c>
      <c r="G593" s="5">
        <v>5.4</v>
      </c>
      <c r="H593" s="4">
        <f t="shared" si="31"/>
        <v>9.170460897</v>
      </c>
      <c r="I593" s="4">
        <f t="shared" si="32"/>
        <v>7.413320692</v>
      </c>
      <c r="J593" s="4">
        <f t="shared" si="33"/>
        <v>8.291890795</v>
      </c>
      <c r="K593" s="4">
        <f t="shared" si="34"/>
        <v>2.859309924</v>
      </c>
      <c r="L593" s="4">
        <f t="shared" si="35"/>
        <v>3.537037037</v>
      </c>
      <c r="M593" s="4">
        <f t="shared" si="36"/>
        <v>-0.1916087124</v>
      </c>
      <c r="N593" s="3" t="s">
        <v>85</v>
      </c>
    </row>
    <row r="594" ht="15.75" customHeight="1">
      <c r="A594" s="3" t="s">
        <v>84</v>
      </c>
      <c r="B594" s="3">
        <v>3.54563411E8</v>
      </c>
      <c r="C594" s="4">
        <v>60.425</v>
      </c>
      <c r="D594" s="4">
        <v>123.994</v>
      </c>
      <c r="E594" s="4">
        <v>53.481</v>
      </c>
      <c r="F594" s="5">
        <v>19.1</v>
      </c>
      <c r="G594" s="5">
        <v>5.4</v>
      </c>
      <c r="H594" s="4">
        <f t="shared" si="31"/>
        <v>9.307849573</v>
      </c>
      <c r="I594" s="4">
        <f t="shared" si="32"/>
        <v>6.101138722</v>
      </c>
      <c r="J594" s="4">
        <f t="shared" si="33"/>
        <v>7.704494148</v>
      </c>
      <c r="K594" s="4">
        <f t="shared" si="34"/>
        <v>2.318468241</v>
      </c>
      <c r="L594" s="4">
        <f t="shared" si="35"/>
        <v>3.537037037</v>
      </c>
      <c r="M594" s="4">
        <f t="shared" si="36"/>
        <v>-0.3445168324</v>
      </c>
      <c r="N594" s="3" t="s">
        <v>85</v>
      </c>
    </row>
    <row r="595" ht="15.75" customHeight="1">
      <c r="A595" s="3" t="s">
        <v>84</v>
      </c>
      <c r="B595" s="3">
        <v>2.45364001E8</v>
      </c>
      <c r="C595" s="9">
        <v>40.14</v>
      </c>
      <c r="D595" s="9">
        <v>77.931</v>
      </c>
      <c r="E595" s="9">
        <v>33.425</v>
      </c>
      <c r="F595" s="5">
        <v>19.1</v>
      </c>
      <c r="G595" s="5">
        <v>5.4</v>
      </c>
      <c r="H595" s="4">
        <f t="shared" si="31"/>
        <v>9.837856565</v>
      </c>
      <c r="I595" s="4">
        <f t="shared" si="32"/>
        <v>6.484846672</v>
      </c>
      <c r="J595" s="4">
        <f t="shared" si="33"/>
        <v>8.161351619</v>
      </c>
      <c r="K595" s="4">
        <f t="shared" si="34"/>
        <v>2.331518325</v>
      </c>
      <c r="L595" s="4">
        <f t="shared" si="35"/>
        <v>3.537037037</v>
      </c>
      <c r="M595" s="4">
        <f t="shared" si="36"/>
        <v>-0.34082728</v>
      </c>
      <c r="N595" s="3" t="s">
        <v>85</v>
      </c>
    </row>
    <row r="596" ht="15.75" customHeight="1">
      <c r="A596" s="3" t="s">
        <v>84</v>
      </c>
      <c r="B596" s="3">
        <v>1.71607801E8</v>
      </c>
      <c r="C596" s="9">
        <v>41.012</v>
      </c>
      <c r="D596" s="9">
        <v>87.449</v>
      </c>
      <c r="E596" s="9">
        <v>31.325</v>
      </c>
      <c r="F596" s="5">
        <v>19.1</v>
      </c>
      <c r="G596" s="5">
        <v>5.4</v>
      </c>
      <c r="H596" s="4">
        <f t="shared" si="31"/>
        <v>8.957554689</v>
      </c>
      <c r="I596" s="4">
        <f t="shared" si="32"/>
        <v>7.069905826</v>
      </c>
      <c r="J596" s="4">
        <f t="shared" si="33"/>
        <v>8.013730258</v>
      </c>
      <c r="K596" s="4">
        <f t="shared" si="34"/>
        <v>2.791667997</v>
      </c>
      <c r="L596" s="4">
        <f t="shared" si="35"/>
        <v>3.537037037</v>
      </c>
      <c r="M596" s="4">
        <f t="shared" si="36"/>
        <v>-0.2107326082</v>
      </c>
      <c r="N596" s="3" t="s">
        <v>85</v>
      </c>
    </row>
    <row r="597" ht="15.75" customHeight="1">
      <c r="A597" s="3" t="s">
        <v>84</v>
      </c>
      <c r="B597" s="3">
        <v>3.88981861E8</v>
      </c>
      <c r="C597" s="9">
        <v>42.823</v>
      </c>
      <c r="D597" s="9">
        <v>75.101</v>
      </c>
      <c r="E597" s="9">
        <v>31.016</v>
      </c>
      <c r="F597" s="5">
        <v>19.1</v>
      </c>
      <c r="G597" s="5">
        <v>5.4</v>
      </c>
      <c r="H597" s="4">
        <f t="shared" si="31"/>
        <v>10.89092422</v>
      </c>
      <c r="I597" s="4">
        <f t="shared" si="32"/>
        <v>7.455642249</v>
      </c>
      <c r="J597" s="4">
        <f t="shared" si="33"/>
        <v>9.173283236</v>
      </c>
      <c r="K597" s="4">
        <f t="shared" si="34"/>
        <v>2.421363167</v>
      </c>
      <c r="L597" s="4">
        <f t="shared" si="35"/>
        <v>3.537037037</v>
      </c>
      <c r="M597" s="4">
        <f t="shared" si="36"/>
        <v>-0.3154261202</v>
      </c>
      <c r="N597" s="3" t="s">
        <v>85</v>
      </c>
    </row>
    <row r="598" ht="15.75" customHeight="1">
      <c r="A598" s="3" t="s">
        <v>84</v>
      </c>
      <c r="B598" s="3">
        <v>3.65156271E8</v>
      </c>
      <c r="C598" s="9">
        <v>37.707</v>
      </c>
      <c r="D598" s="9">
        <v>68.435</v>
      </c>
      <c r="E598" s="9">
        <v>26.736</v>
      </c>
      <c r="F598" s="5">
        <v>19.1</v>
      </c>
      <c r="G598" s="5">
        <v>5.4</v>
      </c>
      <c r="H598" s="4">
        <f t="shared" si="31"/>
        <v>10.52390882</v>
      </c>
      <c r="I598" s="4">
        <f t="shared" si="32"/>
        <v>7.615866248</v>
      </c>
      <c r="J598" s="4">
        <f t="shared" si="33"/>
        <v>9.069887533</v>
      </c>
      <c r="K598" s="4">
        <f t="shared" si="34"/>
        <v>2.559657391</v>
      </c>
      <c r="L598" s="4">
        <f t="shared" si="35"/>
        <v>3.537037037</v>
      </c>
      <c r="M598" s="4">
        <f t="shared" si="36"/>
        <v>-0.2763272298</v>
      </c>
      <c r="N598" s="3" t="s">
        <v>85</v>
      </c>
    </row>
    <row r="599" ht="15.75" customHeight="1">
      <c r="A599" s="3" t="s">
        <v>84</v>
      </c>
      <c r="B599" s="3">
        <v>2.32254621E8</v>
      </c>
      <c r="C599" s="9">
        <v>38.501</v>
      </c>
      <c r="D599" s="9">
        <v>78.849</v>
      </c>
      <c r="E599" s="9">
        <v>30.046</v>
      </c>
      <c r="F599" s="5">
        <v>19.1</v>
      </c>
      <c r="G599" s="5">
        <v>5.4</v>
      </c>
      <c r="H599" s="4">
        <f t="shared" si="31"/>
        <v>9.326295831</v>
      </c>
      <c r="I599" s="4">
        <f t="shared" si="32"/>
        <v>6.919569993</v>
      </c>
      <c r="J599" s="4">
        <f t="shared" si="33"/>
        <v>8.122932912</v>
      </c>
      <c r="K599" s="4">
        <f t="shared" si="34"/>
        <v>2.62427611</v>
      </c>
      <c r="L599" s="4">
        <f t="shared" si="35"/>
        <v>3.537037037</v>
      </c>
      <c r="M599" s="4">
        <f t="shared" si="36"/>
        <v>-0.2580580632</v>
      </c>
      <c r="N599" s="3" t="s">
        <v>85</v>
      </c>
    </row>
    <row r="600" ht="15.75" customHeight="1">
      <c r="A600" s="3" t="s">
        <v>84</v>
      </c>
      <c r="B600" s="3">
        <v>5.53723231E8</v>
      </c>
      <c r="C600" s="4">
        <v>27.795</v>
      </c>
      <c r="D600" s="4">
        <v>56.69</v>
      </c>
      <c r="E600" s="4">
        <v>23.877</v>
      </c>
      <c r="F600" s="5">
        <v>19.1</v>
      </c>
      <c r="G600" s="5">
        <v>5.4</v>
      </c>
      <c r="H600" s="4">
        <f t="shared" si="31"/>
        <v>9.36469395</v>
      </c>
      <c r="I600" s="4">
        <f t="shared" si="32"/>
        <v>6.286091217</v>
      </c>
      <c r="J600" s="4">
        <f t="shared" si="33"/>
        <v>7.825392584</v>
      </c>
      <c r="K600" s="4">
        <f t="shared" si="34"/>
        <v>2.374251372</v>
      </c>
      <c r="L600" s="4">
        <f t="shared" si="35"/>
        <v>3.537037037</v>
      </c>
      <c r="M600" s="4">
        <f t="shared" si="36"/>
        <v>-0.3287456855</v>
      </c>
      <c r="N600" s="3" t="s">
        <v>85</v>
      </c>
    </row>
    <row r="601" ht="15.75" customHeight="1">
      <c r="A601" s="3" t="s">
        <v>84</v>
      </c>
      <c r="B601" s="3">
        <v>1.48805761E8</v>
      </c>
      <c r="C601" s="9">
        <v>44.453</v>
      </c>
      <c r="D601" s="9">
        <v>83.379</v>
      </c>
      <c r="E601" s="9">
        <v>31.737</v>
      </c>
      <c r="F601" s="5">
        <v>19.1</v>
      </c>
      <c r="G601" s="5">
        <v>5.4</v>
      </c>
      <c r="H601" s="4">
        <f t="shared" si="31"/>
        <v>10.18304729</v>
      </c>
      <c r="I601" s="4">
        <f t="shared" si="32"/>
        <v>7.563607146</v>
      </c>
      <c r="J601" s="4">
        <f t="shared" si="33"/>
        <v>8.873327218</v>
      </c>
      <c r="K601" s="4">
        <f t="shared" si="34"/>
        <v>2.627185934</v>
      </c>
      <c r="L601" s="4">
        <f t="shared" si="35"/>
        <v>3.537037037</v>
      </c>
      <c r="M601" s="4">
        <f t="shared" si="36"/>
        <v>-0.2572353903</v>
      </c>
      <c r="N601" s="3" t="s">
        <v>85</v>
      </c>
    </row>
    <row r="602" ht="15.75" customHeight="1">
      <c r="A602" s="3" t="s">
        <v>84</v>
      </c>
      <c r="B602" s="3">
        <v>8.5478751E7</v>
      </c>
      <c r="C602" s="9">
        <v>43.211</v>
      </c>
      <c r="D602" s="9">
        <v>71.371</v>
      </c>
      <c r="E602" s="9">
        <v>28.992</v>
      </c>
      <c r="F602" s="5">
        <v>19.1</v>
      </c>
      <c r="G602" s="5">
        <v>5.4</v>
      </c>
      <c r="H602" s="4">
        <f t="shared" si="31"/>
        <v>11.56394194</v>
      </c>
      <c r="I602" s="4">
        <f t="shared" si="32"/>
        <v>8.048406457</v>
      </c>
      <c r="J602" s="4">
        <f t="shared" si="33"/>
        <v>9.806174197</v>
      </c>
      <c r="K602" s="4">
        <f t="shared" si="34"/>
        <v>2.461748068</v>
      </c>
      <c r="L602" s="4">
        <f t="shared" si="35"/>
        <v>3.537037037</v>
      </c>
      <c r="M602" s="4">
        <f t="shared" si="36"/>
        <v>-0.3040083995</v>
      </c>
      <c r="N602" s="3" t="s">
        <v>85</v>
      </c>
    </row>
    <row r="603" ht="15.75" customHeight="1">
      <c r="A603" s="3" t="s">
        <v>86</v>
      </c>
      <c r="B603" s="3">
        <v>6.8837571E7</v>
      </c>
      <c r="C603" s="9">
        <v>42.412</v>
      </c>
      <c r="D603" s="9">
        <v>66.03</v>
      </c>
      <c r="E603" s="9">
        <v>32.826</v>
      </c>
      <c r="F603" s="5">
        <v>9.9</v>
      </c>
      <c r="G603" s="5">
        <v>3.4</v>
      </c>
      <c r="H603" s="4">
        <f t="shared" si="31"/>
        <v>6.358909587</v>
      </c>
      <c r="I603" s="4">
        <f t="shared" si="32"/>
        <v>4.39288369</v>
      </c>
      <c r="J603" s="4">
        <f t="shared" si="33"/>
        <v>5.375896638</v>
      </c>
      <c r="K603" s="4">
        <f t="shared" si="34"/>
        <v>2.011515262</v>
      </c>
      <c r="L603" s="4">
        <f t="shared" si="35"/>
        <v>2.911764706</v>
      </c>
      <c r="M603" s="4">
        <f t="shared" si="36"/>
        <v>-0.3091765766</v>
      </c>
      <c r="N603" s="3" t="s">
        <v>87</v>
      </c>
    </row>
    <row r="604" ht="15.75" customHeight="1">
      <c r="A604" s="3" t="s">
        <v>86</v>
      </c>
      <c r="B604" s="3">
        <v>6.28801753E8</v>
      </c>
      <c r="C604" s="9">
        <v>39.661</v>
      </c>
      <c r="D604" s="9">
        <v>68.36</v>
      </c>
      <c r="E604" s="9">
        <v>25.024</v>
      </c>
      <c r="F604" s="5">
        <v>9.9</v>
      </c>
      <c r="G604" s="5">
        <v>3.4</v>
      </c>
      <c r="H604" s="4">
        <f t="shared" si="31"/>
        <v>5.743766823</v>
      </c>
      <c r="I604" s="4">
        <f t="shared" si="32"/>
        <v>5.388722826</v>
      </c>
      <c r="J604" s="4">
        <f t="shared" si="33"/>
        <v>5.566244824</v>
      </c>
      <c r="K604" s="4">
        <f t="shared" si="34"/>
        <v>2.731777494</v>
      </c>
      <c r="L604" s="4">
        <f t="shared" si="35"/>
        <v>2.911764706</v>
      </c>
      <c r="M604" s="4">
        <f t="shared" si="36"/>
        <v>-0.06181379007</v>
      </c>
      <c r="N604" s="3" t="s">
        <v>87</v>
      </c>
    </row>
    <row r="605" ht="15.75" customHeight="1">
      <c r="A605" s="3" t="s">
        <v>86</v>
      </c>
      <c r="B605" s="3">
        <v>6.08920512E8</v>
      </c>
      <c r="C605" s="9">
        <v>32.738</v>
      </c>
      <c r="D605" s="9">
        <v>53.099</v>
      </c>
      <c r="E605" s="9">
        <v>25.239</v>
      </c>
      <c r="F605" s="5">
        <v>9.9</v>
      </c>
      <c r="G605" s="5">
        <v>3.4</v>
      </c>
      <c r="H605" s="4">
        <f t="shared" si="31"/>
        <v>6.103809865</v>
      </c>
      <c r="I605" s="4">
        <f t="shared" si="32"/>
        <v>4.410206427</v>
      </c>
      <c r="J605" s="4">
        <f t="shared" si="33"/>
        <v>5.257008146</v>
      </c>
      <c r="K605" s="4">
        <f t="shared" si="34"/>
        <v>2.103847221</v>
      </c>
      <c r="L605" s="4">
        <f t="shared" si="35"/>
        <v>2.911764706</v>
      </c>
      <c r="M605" s="4">
        <f t="shared" si="36"/>
        <v>-0.2774666111</v>
      </c>
      <c r="N605" s="3" t="s">
        <v>87</v>
      </c>
    </row>
    <row r="606" ht="15.75" customHeight="1">
      <c r="A606" s="3" t="s">
        <v>86</v>
      </c>
      <c r="B606" s="3">
        <v>1.77979181E8</v>
      </c>
      <c r="C606" s="9">
        <v>33.305</v>
      </c>
      <c r="D606" s="9">
        <v>54.865</v>
      </c>
      <c r="E606" s="9">
        <v>27.156</v>
      </c>
      <c r="F606" s="5">
        <v>9.9</v>
      </c>
      <c r="G606" s="5">
        <v>3.4</v>
      </c>
      <c r="H606" s="4">
        <f t="shared" si="31"/>
        <v>6.009650961</v>
      </c>
      <c r="I606" s="4">
        <f t="shared" si="32"/>
        <v>4.169870379</v>
      </c>
      <c r="J606" s="4">
        <f t="shared" si="33"/>
        <v>5.08976067</v>
      </c>
      <c r="K606" s="4">
        <f t="shared" si="34"/>
        <v>2.020363824</v>
      </c>
      <c r="L606" s="4">
        <f t="shared" si="35"/>
        <v>2.911764706</v>
      </c>
      <c r="M606" s="4">
        <f t="shared" si="36"/>
        <v>-0.3061376767</v>
      </c>
      <c r="N606" s="3" t="s">
        <v>87</v>
      </c>
    </row>
    <row r="607" ht="15.75" customHeight="1">
      <c r="A607" s="3" t="s">
        <v>86</v>
      </c>
      <c r="B607" s="3">
        <v>6.11442887E8</v>
      </c>
      <c r="C607" s="9">
        <v>36.644</v>
      </c>
      <c r="D607" s="9">
        <v>62.226</v>
      </c>
      <c r="E607" s="9">
        <v>26.349</v>
      </c>
      <c r="F607" s="5">
        <v>9.9</v>
      </c>
      <c r="G607" s="5">
        <v>3.4</v>
      </c>
      <c r="H607" s="4">
        <f t="shared" si="31"/>
        <v>5.829968181</v>
      </c>
      <c r="I607" s="4">
        <f t="shared" si="32"/>
        <v>4.728437512</v>
      </c>
      <c r="J607" s="4">
        <f t="shared" si="33"/>
        <v>5.279202846</v>
      </c>
      <c r="K607" s="4">
        <f t="shared" si="34"/>
        <v>2.361607651</v>
      </c>
      <c r="L607" s="4">
        <f t="shared" si="35"/>
        <v>2.911764706</v>
      </c>
      <c r="M607" s="4">
        <f t="shared" si="36"/>
        <v>-0.1889428269</v>
      </c>
      <c r="N607" s="3" t="s">
        <v>87</v>
      </c>
    </row>
    <row r="608" ht="15.75" customHeight="1">
      <c r="A608" s="3" t="s">
        <v>86</v>
      </c>
      <c r="B608" s="3">
        <v>6.38574708E8</v>
      </c>
      <c r="C608" s="9">
        <v>27.28</v>
      </c>
      <c r="D608" s="9">
        <v>50.706</v>
      </c>
      <c r="E608" s="9">
        <v>22.94</v>
      </c>
      <c r="F608" s="5">
        <v>9.9</v>
      </c>
      <c r="G608" s="5">
        <v>3.4</v>
      </c>
      <c r="H608" s="4">
        <f t="shared" si="31"/>
        <v>5.326233582</v>
      </c>
      <c r="I608" s="4">
        <f t="shared" si="32"/>
        <v>4.043243243</v>
      </c>
      <c r="J608" s="4">
        <f t="shared" si="33"/>
        <v>4.684738413</v>
      </c>
      <c r="K608" s="4">
        <f t="shared" si="34"/>
        <v>2.210374891</v>
      </c>
      <c r="L608" s="4">
        <f t="shared" si="35"/>
        <v>2.911764706</v>
      </c>
      <c r="M608" s="4">
        <f t="shared" si="36"/>
        <v>-0.2408813506</v>
      </c>
      <c r="N608" s="3" t="s">
        <v>87</v>
      </c>
    </row>
    <row r="609" ht="15.75" customHeight="1">
      <c r="A609" s="3" t="s">
        <v>86</v>
      </c>
      <c r="B609" s="3">
        <v>2.04704271E8</v>
      </c>
      <c r="C609" s="9">
        <v>36.077</v>
      </c>
      <c r="D609" s="9">
        <v>58.356</v>
      </c>
      <c r="E609" s="9">
        <v>27.909</v>
      </c>
      <c r="F609" s="5">
        <v>9.9</v>
      </c>
      <c r="G609" s="5">
        <v>3.4</v>
      </c>
      <c r="H609" s="4">
        <f t="shared" si="31"/>
        <v>6.120404072</v>
      </c>
      <c r="I609" s="4">
        <f t="shared" si="32"/>
        <v>4.395062525</v>
      </c>
      <c r="J609" s="4">
        <f t="shared" si="33"/>
        <v>5.257733298</v>
      </c>
      <c r="K609" s="4">
        <f t="shared" si="34"/>
        <v>2.090938407</v>
      </c>
      <c r="L609" s="4">
        <f t="shared" si="35"/>
        <v>2.911764706</v>
      </c>
      <c r="M609" s="4">
        <f t="shared" si="36"/>
        <v>-0.281899941</v>
      </c>
      <c r="N609" s="3" t="s">
        <v>87</v>
      </c>
    </row>
    <row r="610" ht="15.75" customHeight="1">
      <c r="A610" s="3" t="s">
        <v>86</v>
      </c>
      <c r="B610" s="3">
        <v>3.58490501E8</v>
      </c>
      <c r="C610" s="9">
        <v>43.892</v>
      </c>
      <c r="D610" s="9">
        <v>67.696</v>
      </c>
      <c r="E610" s="9">
        <v>29.258</v>
      </c>
      <c r="F610" s="5">
        <v>9.9</v>
      </c>
      <c r="G610" s="5">
        <v>3.4</v>
      </c>
      <c r="H610" s="4">
        <f t="shared" si="31"/>
        <v>6.418854881</v>
      </c>
      <c r="I610" s="4">
        <f t="shared" si="32"/>
        <v>5.100581038</v>
      </c>
      <c r="J610" s="4">
        <f t="shared" si="33"/>
        <v>5.759717959</v>
      </c>
      <c r="K610" s="4">
        <f t="shared" si="34"/>
        <v>2.313760339</v>
      </c>
      <c r="L610" s="4">
        <f t="shared" si="35"/>
        <v>2.911764706</v>
      </c>
      <c r="M610" s="4">
        <f t="shared" si="36"/>
        <v>-0.2053752371</v>
      </c>
      <c r="N610" s="3" t="s">
        <v>87</v>
      </c>
    </row>
    <row r="611" ht="15.75" customHeight="1">
      <c r="A611" s="3" t="s">
        <v>86</v>
      </c>
      <c r="B611" s="3">
        <v>6.34680022E8</v>
      </c>
      <c r="C611" s="9">
        <v>40.853</v>
      </c>
      <c r="D611" s="9">
        <v>58.223</v>
      </c>
      <c r="E611" s="9">
        <v>23.807</v>
      </c>
      <c r="F611" s="5">
        <v>9.9</v>
      </c>
      <c r="G611" s="5">
        <v>3.4</v>
      </c>
      <c r="H611" s="4">
        <f t="shared" si="31"/>
        <v>6.946476478</v>
      </c>
      <c r="I611" s="4">
        <f t="shared" si="32"/>
        <v>5.834426849</v>
      </c>
      <c r="J611" s="4">
        <f t="shared" si="33"/>
        <v>6.390451664</v>
      </c>
      <c r="K611" s="4">
        <f t="shared" si="34"/>
        <v>2.445625236</v>
      </c>
      <c r="L611" s="4">
        <f t="shared" si="35"/>
        <v>2.911764706</v>
      </c>
      <c r="M611" s="4">
        <f t="shared" si="36"/>
        <v>-0.1600883027</v>
      </c>
      <c r="N611" s="3" t="s">
        <v>87</v>
      </c>
    </row>
    <row r="612" ht="15.75" customHeight="1">
      <c r="A612" s="3" t="s">
        <v>86</v>
      </c>
      <c r="B612" s="3">
        <v>5.04108431E8</v>
      </c>
      <c r="C612" s="9">
        <v>33.812</v>
      </c>
      <c r="D612" s="9">
        <v>62.114</v>
      </c>
      <c r="E612" s="9">
        <v>26.421</v>
      </c>
      <c r="F612" s="5">
        <v>9.9</v>
      </c>
      <c r="G612" s="5">
        <v>3.4</v>
      </c>
      <c r="H612" s="4">
        <f t="shared" si="31"/>
        <v>5.389103906</v>
      </c>
      <c r="I612" s="4">
        <f t="shared" si="32"/>
        <v>4.351114644</v>
      </c>
      <c r="J612" s="4">
        <f t="shared" si="33"/>
        <v>4.870109275</v>
      </c>
      <c r="K612" s="4">
        <f t="shared" si="34"/>
        <v>2.35093297</v>
      </c>
      <c r="L612" s="4">
        <f t="shared" si="35"/>
        <v>2.911764706</v>
      </c>
      <c r="M612" s="4">
        <f t="shared" si="36"/>
        <v>-0.192608879</v>
      </c>
      <c r="N612" s="3" t="s">
        <v>87</v>
      </c>
    </row>
    <row r="613" ht="15.75" customHeight="1">
      <c r="A613" s="3" t="s">
        <v>86</v>
      </c>
      <c r="B613" s="3">
        <v>5.17751911E8</v>
      </c>
      <c r="C613" s="9">
        <v>40.253</v>
      </c>
      <c r="D613" s="9">
        <v>66.603</v>
      </c>
      <c r="E613" s="9">
        <v>35.924</v>
      </c>
      <c r="F613" s="5">
        <v>9.9</v>
      </c>
      <c r="G613" s="5">
        <v>3.4</v>
      </c>
      <c r="H613" s="4">
        <f t="shared" si="31"/>
        <v>5.983284537</v>
      </c>
      <c r="I613" s="4">
        <f t="shared" si="32"/>
        <v>3.809714954</v>
      </c>
      <c r="J613" s="4">
        <f t="shared" si="33"/>
        <v>4.896499745</v>
      </c>
      <c r="K613" s="4">
        <f t="shared" si="34"/>
        <v>1.853997328</v>
      </c>
      <c r="L613" s="4">
        <f t="shared" si="35"/>
        <v>2.911764706</v>
      </c>
      <c r="M613" s="4">
        <f t="shared" si="36"/>
        <v>-0.363273645</v>
      </c>
      <c r="N613" s="3" t="s">
        <v>87</v>
      </c>
    </row>
    <row r="614" ht="15.75" customHeight="1">
      <c r="A614" s="3" t="s">
        <v>86</v>
      </c>
      <c r="B614" s="3">
        <v>2.32949251E8</v>
      </c>
      <c r="C614" s="9">
        <v>46.457</v>
      </c>
      <c r="D614" s="9">
        <v>83.092</v>
      </c>
      <c r="E614" s="9">
        <v>37.101</v>
      </c>
      <c r="F614" s="5">
        <v>9.9</v>
      </c>
      <c r="G614" s="5">
        <v>3.4</v>
      </c>
      <c r="H614" s="4">
        <f t="shared" si="31"/>
        <v>5.535121311</v>
      </c>
      <c r="I614" s="4">
        <f t="shared" si="32"/>
        <v>4.25740007</v>
      </c>
      <c r="J614" s="4">
        <f t="shared" si="33"/>
        <v>4.896260691</v>
      </c>
      <c r="K614" s="4">
        <f t="shared" si="34"/>
        <v>2.239616183</v>
      </c>
      <c r="L614" s="4">
        <f t="shared" si="35"/>
        <v>2.911764706</v>
      </c>
      <c r="M614" s="4">
        <f t="shared" si="36"/>
        <v>-0.2308388867</v>
      </c>
      <c r="N614" s="3" t="s">
        <v>87</v>
      </c>
    </row>
    <row r="615" ht="15.75" customHeight="1">
      <c r="A615" s="3" t="s">
        <v>86</v>
      </c>
      <c r="B615" s="3">
        <v>1.84452721E8</v>
      </c>
      <c r="C615" s="9">
        <v>45.962</v>
      </c>
      <c r="D615" s="9">
        <v>86.54</v>
      </c>
      <c r="E615" s="9">
        <v>44.011</v>
      </c>
      <c r="F615" s="5">
        <v>9.9</v>
      </c>
      <c r="G615" s="5">
        <v>3.4</v>
      </c>
      <c r="H615" s="4">
        <f t="shared" si="31"/>
        <v>5.257959325</v>
      </c>
      <c r="I615" s="4">
        <f t="shared" si="32"/>
        <v>3.550721411</v>
      </c>
      <c r="J615" s="4">
        <f t="shared" si="33"/>
        <v>4.404340368</v>
      </c>
      <c r="K615" s="4">
        <f t="shared" si="34"/>
        <v>1.9663266</v>
      </c>
      <c r="L615" s="4">
        <f t="shared" si="35"/>
        <v>2.911764706</v>
      </c>
      <c r="M615" s="4">
        <f t="shared" si="36"/>
        <v>-0.3246959151</v>
      </c>
      <c r="N615" s="3" t="s">
        <v>87</v>
      </c>
    </row>
    <row r="616" ht="15.75" customHeight="1">
      <c r="A616" s="3" t="s">
        <v>86</v>
      </c>
      <c r="B616" s="3">
        <v>2.50671091E8</v>
      </c>
      <c r="C616" s="9">
        <v>34.655</v>
      </c>
      <c r="D616" s="9">
        <v>62.901</v>
      </c>
      <c r="E616" s="9">
        <v>27.987</v>
      </c>
      <c r="F616" s="5">
        <v>9.9</v>
      </c>
      <c r="G616" s="5">
        <v>3.4</v>
      </c>
      <c r="H616" s="4">
        <f t="shared" si="31"/>
        <v>5.454356846</v>
      </c>
      <c r="I616" s="4">
        <f t="shared" si="32"/>
        <v>4.210061814</v>
      </c>
      <c r="J616" s="4">
        <f t="shared" si="33"/>
        <v>4.83220933</v>
      </c>
      <c r="K616" s="4">
        <f t="shared" si="34"/>
        <v>2.247507771</v>
      </c>
      <c r="L616" s="4">
        <f t="shared" si="35"/>
        <v>2.911764706</v>
      </c>
      <c r="M616" s="4">
        <f t="shared" si="36"/>
        <v>-0.2281286441</v>
      </c>
      <c r="N616" s="3" t="s">
        <v>87</v>
      </c>
    </row>
    <row r="617" ht="15.75" customHeight="1">
      <c r="A617" s="3" t="s">
        <v>86</v>
      </c>
      <c r="B617" s="3">
        <v>5.99929841E8</v>
      </c>
      <c r="C617" s="9">
        <v>40.847</v>
      </c>
      <c r="D617" s="9">
        <v>67.739</v>
      </c>
      <c r="E617" s="9">
        <v>28.76</v>
      </c>
      <c r="F617" s="5">
        <v>9.9</v>
      </c>
      <c r="G617" s="5">
        <v>3.4</v>
      </c>
      <c r="H617" s="4">
        <f t="shared" si="31"/>
        <v>5.969755975</v>
      </c>
      <c r="I617" s="4">
        <f t="shared" si="32"/>
        <v>4.828922114</v>
      </c>
      <c r="J617" s="4">
        <f t="shared" si="33"/>
        <v>5.399339045</v>
      </c>
      <c r="K617" s="4">
        <f t="shared" si="34"/>
        <v>2.355319889</v>
      </c>
      <c r="L617" s="4">
        <f t="shared" si="35"/>
        <v>2.911764706</v>
      </c>
      <c r="M617" s="4">
        <f t="shared" si="36"/>
        <v>-0.1911022604</v>
      </c>
      <c r="N617" s="3" t="s">
        <v>87</v>
      </c>
    </row>
    <row r="618" ht="15.75" customHeight="1">
      <c r="A618" s="3" t="s">
        <v>88</v>
      </c>
      <c r="B618" s="3">
        <v>6.09523048E8</v>
      </c>
      <c r="C618" s="9">
        <v>32.704</v>
      </c>
      <c r="D618" s="9">
        <v>79.801</v>
      </c>
      <c r="E618" s="9">
        <v>72.253</v>
      </c>
      <c r="F618" s="5">
        <v>10.5</v>
      </c>
      <c r="G618" s="5">
        <v>8.9</v>
      </c>
      <c r="H618" s="4">
        <f t="shared" si="31"/>
        <v>4.303103971</v>
      </c>
      <c r="I618" s="4">
        <f t="shared" si="32"/>
        <v>4.028422349</v>
      </c>
      <c r="J618" s="4">
        <f t="shared" si="33"/>
        <v>4.16576316</v>
      </c>
      <c r="K618" s="4">
        <f t="shared" si="34"/>
        <v>1.104466251</v>
      </c>
      <c r="L618" s="4">
        <f t="shared" si="35"/>
        <v>1.179775281</v>
      </c>
      <c r="M618" s="4">
        <f t="shared" si="36"/>
        <v>-0.06383336859</v>
      </c>
      <c r="N618" s="3" t="s">
        <v>89</v>
      </c>
    </row>
    <row r="619" ht="15.75" customHeight="1">
      <c r="A619" s="3" t="s">
        <v>88</v>
      </c>
      <c r="B619" s="3">
        <v>6.10553731E8</v>
      </c>
      <c r="C619" s="9">
        <v>45.277</v>
      </c>
      <c r="D619" s="9">
        <v>92.824</v>
      </c>
      <c r="E619" s="9">
        <v>82.379</v>
      </c>
      <c r="F619" s="5">
        <v>10.5</v>
      </c>
      <c r="G619" s="5">
        <v>8.9</v>
      </c>
      <c r="H619" s="4">
        <f t="shared" si="31"/>
        <v>5.121611868</v>
      </c>
      <c r="I619" s="4">
        <f t="shared" si="32"/>
        <v>4.891602229</v>
      </c>
      <c r="J619" s="4">
        <f t="shared" si="33"/>
        <v>5.006607048</v>
      </c>
      <c r="K619" s="4">
        <f t="shared" si="34"/>
        <v>1.126792022</v>
      </c>
      <c r="L619" s="4">
        <f t="shared" si="35"/>
        <v>1.179775281</v>
      </c>
      <c r="M619" s="4">
        <f t="shared" si="36"/>
        <v>-0.04490961925</v>
      </c>
      <c r="N619" s="3" t="s">
        <v>89</v>
      </c>
    </row>
    <row r="620" ht="15.75" customHeight="1">
      <c r="A620" s="3" t="s">
        <v>88</v>
      </c>
      <c r="B620" s="3">
        <v>6.42055513E8</v>
      </c>
      <c r="C620" s="9">
        <v>38.891</v>
      </c>
      <c r="D620" s="9">
        <v>76.482</v>
      </c>
      <c r="E620" s="9">
        <v>78.046</v>
      </c>
      <c r="F620" s="5">
        <v>10.5</v>
      </c>
      <c r="G620" s="5">
        <v>8.9</v>
      </c>
      <c r="H620" s="4">
        <f t="shared" si="31"/>
        <v>5.339236683</v>
      </c>
      <c r="I620" s="4">
        <f t="shared" si="32"/>
        <v>4.434947339</v>
      </c>
      <c r="J620" s="4">
        <f t="shared" si="33"/>
        <v>4.887092011</v>
      </c>
      <c r="K620" s="4">
        <f t="shared" si="34"/>
        <v>0.9799605361</v>
      </c>
      <c r="L620" s="4">
        <f t="shared" si="35"/>
        <v>1.179775281</v>
      </c>
      <c r="M620" s="4">
        <f t="shared" si="36"/>
        <v>-0.1693667837</v>
      </c>
      <c r="N620" s="3" t="s">
        <v>89</v>
      </c>
    </row>
    <row r="621" ht="15.75" customHeight="1">
      <c r="A621" s="3" t="s">
        <v>88</v>
      </c>
      <c r="B621" s="3">
        <v>3.15349911E8</v>
      </c>
      <c r="C621" s="9">
        <v>41.62</v>
      </c>
      <c r="D621" s="9">
        <v>72.003</v>
      </c>
      <c r="E621" s="9">
        <v>83.908</v>
      </c>
      <c r="F621" s="5">
        <v>10.5</v>
      </c>
      <c r="G621" s="5">
        <v>8.9</v>
      </c>
      <c r="H621" s="4">
        <f t="shared" si="31"/>
        <v>6.069330445</v>
      </c>
      <c r="I621" s="4">
        <f t="shared" si="32"/>
        <v>4.414573104</v>
      </c>
      <c r="J621" s="4">
        <f t="shared" si="33"/>
        <v>5.241951774</v>
      </c>
      <c r="K621" s="4">
        <f t="shared" si="34"/>
        <v>0.8581184154</v>
      </c>
      <c r="L621" s="4">
        <f t="shared" si="35"/>
        <v>1.179775281</v>
      </c>
      <c r="M621" s="4">
        <f t="shared" si="36"/>
        <v>-0.272642486</v>
      </c>
      <c r="N621" s="3" t="s">
        <v>89</v>
      </c>
    </row>
    <row r="622" ht="15.75" customHeight="1">
      <c r="A622" s="3" t="s">
        <v>88</v>
      </c>
      <c r="B622" s="3">
        <v>1.19803351E8</v>
      </c>
      <c r="C622" s="9">
        <v>46.251</v>
      </c>
      <c r="D622" s="9">
        <v>93.09</v>
      </c>
      <c r="E622" s="9">
        <v>92.974</v>
      </c>
      <c r="F622" s="5">
        <v>10.5</v>
      </c>
      <c r="G622" s="5">
        <v>8.9</v>
      </c>
      <c r="H622" s="4">
        <f t="shared" si="31"/>
        <v>5.216838543</v>
      </c>
      <c r="I622" s="4">
        <f t="shared" si="32"/>
        <v>4.427408738</v>
      </c>
      <c r="J622" s="4">
        <f t="shared" si="33"/>
        <v>4.822123641</v>
      </c>
      <c r="K622" s="4">
        <f t="shared" si="34"/>
        <v>1.001247661</v>
      </c>
      <c r="L622" s="4">
        <f t="shared" si="35"/>
        <v>1.179775281</v>
      </c>
      <c r="M622" s="4">
        <f t="shared" si="36"/>
        <v>-0.1513234115</v>
      </c>
      <c r="N622" s="3" t="s">
        <v>89</v>
      </c>
    </row>
    <row r="623" ht="15.75" customHeight="1">
      <c r="A623" s="3" t="s">
        <v>88</v>
      </c>
      <c r="B623" s="3">
        <v>4.02919491E8</v>
      </c>
      <c r="C623" s="9">
        <v>40.529</v>
      </c>
      <c r="D623" s="9">
        <v>78.071</v>
      </c>
      <c r="E623" s="9">
        <v>78.791</v>
      </c>
      <c r="F623" s="5">
        <v>10.5</v>
      </c>
      <c r="G623" s="5">
        <v>8.9</v>
      </c>
      <c r="H623" s="4">
        <f t="shared" si="31"/>
        <v>5.450865238</v>
      </c>
      <c r="I623" s="4">
        <f t="shared" si="32"/>
        <v>4.578036832</v>
      </c>
      <c r="J623" s="4">
        <f t="shared" si="33"/>
        <v>5.014451035</v>
      </c>
      <c r="K623" s="4">
        <f t="shared" si="34"/>
        <v>0.9908619005</v>
      </c>
      <c r="L623" s="4">
        <f t="shared" si="35"/>
        <v>1.179775281</v>
      </c>
      <c r="M623" s="4">
        <f t="shared" si="36"/>
        <v>-0.1601265796</v>
      </c>
      <c r="N623" s="3" t="s">
        <v>89</v>
      </c>
    </row>
    <row r="624" ht="15.75" customHeight="1">
      <c r="A624" s="3" t="s">
        <v>88</v>
      </c>
      <c r="B624" s="3">
        <v>3.45953481E8</v>
      </c>
      <c r="C624" s="9">
        <v>36.514</v>
      </c>
      <c r="D624" s="9">
        <v>76.389</v>
      </c>
      <c r="E624" s="9">
        <v>84.291</v>
      </c>
      <c r="F624" s="5">
        <v>10.5</v>
      </c>
      <c r="G624" s="5">
        <v>8.9</v>
      </c>
      <c r="H624" s="4">
        <f t="shared" si="31"/>
        <v>5.019007972</v>
      </c>
      <c r="I624" s="4">
        <f t="shared" si="32"/>
        <v>3.855389069</v>
      </c>
      <c r="J624" s="4">
        <f t="shared" si="33"/>
        <v>4.437198521</v>
      </c>
      <c r="K624" s="4">
        <f t="shared" si="34"/>
        <v>0.9062533367</v>
      </c>
      <c r="L624" s="4">
        <f t="shared" si="35"/>
        <v>1.179775281</v>
      </c>
      <c r="M624" s="4">
        <f t="shared" si="36"/>
        <v>-0.2318424099</v>
      </c>
      <c r="N624" s="3" t="s">
        <v>89</v>
      </c>
    </row>
    <row r="625" ht="15.75" customHeight="1">
      <c r="A625" s="3" t="s">
        <v>88</v>
      </c>
      <c r="B625" s="3">
        <v>3.90563901E8</v>
      </c>
      <c r="C625" s="9">
        <v>39.267</v>
      </c>
      <c r="D625" s="9">
        <v>89.027</v>
      </c>
      <c r="E625" s="9">
        <v>75.717</v>
      </c>
      <c r="F625" s="5">
        <v>10.5</v>
      </c>
      <c r="G625" s="5">
        <v>8.9</v>
      </c>
      <c r="H625" s="4">
        <f t="shared" si="31"/>
        <v>4.631218619</v>
      </c>
      <c r="I625" s="4">
        <f t="shared" si="32"/>
        <v>4.615559254</v>
      </c>
      <c r="J625" s="4">
        <f t="shared" si="33"/>
        <v>4.623388936</v>
      </c>
      <c r="K625" s="4">
        <f t="shared" si="34"/>
        <v>1.175786151</v>
      </c>
      <c r="L625" s="4">
        <f t="shared" si="35"/>
        <v>1.179775281</v>
      </c>
      <c r="M625" s="4">
        <f t="shared" si="36"/>
        <v>-0.003381262433</v>
      </c>
      <c r="N625" s="3" t="s">
        <v>89</v>
      </c>
    </row>
    <row r="626" ht="15.75" customHeight="1">
      <c r="A626" s="3" t="s">
        <v>88</v>
      </c>
      <c r="B626" s="3">
        <v>6.23883036E8</v>
      </c>
      <c r="C626" s="9">
        <v>37.643</v>
      </c>
      <c r="D626" s="9">
        <v>69.176</v>
      </c>
      <c r="E626" s="9">
        <v>78.9</v>
      </c>
      <c r="F626" s="5">
        <v>10.5</v>
      </c>
      <c r="G626" s="5">
        <v>8.9</v>
      </c>
      <c r="H626" s="4">
        <f t="shared" si="31"/>
        <v>5.713708512</v>
      </c>
      <c r="I626" s="4">
        <f t="shared" si="32"/>
        <v>4.246168568</v>
      </c>
      <c r="J626" s="4">
        <f t="shared" si="33"/>
        <v>4.97993854</v>
      </c>
      <c r="K626" s="4">
        <f t="shared" si="34"/>
        <v>0.8767553866</v>
      </c>
      <c r="L626" s="4">
        <f t="shared" si="35"/>
        <v>1.179775281</v>
      </c>
      <c r="M626" s="4">
        <f t="shared" si="36"/>
        <v>-0.2568454342</v>
      </c>
      <c r="N626" s="3" t="s">
        <v>89</v>
      </c>
    </row>
    <row r="627" ht="15.75" customHeight="1">
      <c r="A627" s="3" t="s">
        <v>88</v>
      </c>
      <c r="B627" s="3">
        <v>4.45101961E8</v>
      </c>
      <c r="C627" s="9">
        <v>34.308</v>
      </c>
      <c r="D627" s="9">
        <v>57.855</v>
      </c>
      <c r="E627" s="9">
        <v>73.805</v>
      </c>
      <c r="F627" s="5">
        <v>10.5</v>
      </c>
      <c r="G627" s="5">
        <v>8.9</v>
      </c>
      <c r="H627" s="4">
        <f t="shared" si="31"/>
        <v>6.226497278</v>
      </c>
      <c r="I627" s="4">
        <f t="shared" si="32"/>
        <v>4.13713434</v>
      </c>
      <c r="J627" s="4">
        <f t="shared" si="33"/>
        <v>5.181815809</v>
      </c>
      <c r="K627" s="4">
        <f t="shared" si="34"/>
        <v>0.7838899804</v>
      </c>
      <c r="L627" s="4">
        <f t="shared" si="35"/>
        <v>1.179775281</v>
      </c>
      <c r="M627" s="4">
        <f t="shared" si="36"/>
        <v>-0.3355599214</v>
      </c>
      <c r="N627" s="3" t="s">
        <v>89</v>
      </c>
    </row>
    <row r="628" ht="15.75" customHeight="1">
      <c r="A628" s="3" t="s">
        <v>88</v>
      </c>
      <c r="B628" s="3">
        <v>3.51476511E8</v>
      </c>
      <c r="C628" s="9">
        <v>37.108</v>
      </c>
      <c r="D628" s="9">
        <v>67.478</v>
      </c>
      <c r="E628" s="9">
        <v>84.012</v>
      </c>
      <c r="F628" s="5">
        <v>10.5</v>
      </c>
      <c r="G628" s="5">
        <v>8.9</v>
      </c>
      <c r="H628" s="4">
        <f t="shared" si="31"/>
        <v>5.774237529</v>
      </c>
      <c r="I628" s="4">
        <f t="shared" si="32"/>
        <v>3.931119364</v>
      </c>
      <c r="J628" s="4">
        <f t="shared" si="33"/>
        <v>4.852678447</v>
      </c>
      <c r="K628" s="4">
        <f t="shared" si="34"/>
        <v>0.8031947817</v>
      </c>
      <c r="L628" s="4">
        <f t="shared" si="35"/>
        <v>1.179775281</v>
      </c>
      <c r="M628" s="4">
        <f t="shared" si="36"/>
        <v>-0.3191968041</v>
      </c>
      <c r="N628" s="3" t="s">
        <v>89</v>
      </c>
    </row>
    <row r="629" ht="15.75" customHeight="1">
      <c r="A629" s="3" t="s">
        <v>88</v>
      </c>
      <c r="B629" s="3">
        <v>2.04378691E8</v>
      </c>
      <c r="C629" s="9">
        <v>50.04</v>
      </c>
      <c r="D629" s="9">
        <v>98.234</v>
      </c>
      <c r="E629" s="9">
        <v>81.216</v>
      </c>
      <c r="F629" s="5">
        <v>10.5</v>
      </c>
      <c r="G629" s="5">
        <v>8.9</v>
      </c>
      <c r="H629" s="4">
        <f t="shared" si="31"/>
        <v>5.348657288</v>
      </c>
      <c r="I629" s="4">
        <f t="shared" si="32"/>
        <v>5.483599291</v>
      </c>
      <c r="J629" s="4">
        <f t="shared" si="33"/>
        <v>5.416128289</v>
      </c>
      <c r="K629" s="4">
        <f t="shared" si="34"/>
        <v>1.209539992</v>
      </c>
      <c r="L629" s="4">
        <f t="shared" si="35"/>
        <v>1.179775281</v>
      </c>
      <c r="M629" s="4">
        <f t="shared" si="36"/>
        <v>0.02522913618</v>
      </c>
      <c r="N629" s="3" t="s">
        <v>89</v>
      </c>
    </row>
    <row r="630" ht="15.75" customHeight="1">
      <c r="A630" s="3" t="s">
        <v>90</v>
      </c>
      <c r="B630" s="3">
        <v>6.46728744E8</v>
      </c>
      <c r="C630" s="9">
        <v>21.073</v>
      </c>
      <c r="D630" s="9">
        <v>72.67</v>
      </c>
      <c r="E630" s="9">
        <v>18.342</v>
      </c>
      <c r="F630" s="5">
        <v>10.3</v>
      </c>
      <c r="G630" s="5">
        <v>2.2</v>
      </c>
      <c r="H630" s="4">
        <f t="shared" si="31"/>
        <v>2.986815742</v>
      </c>
      <c r="I630" s="4">
        <f t="shared" si="32"/>
        <v>2.527565151</v>
      </c>
      <c r="J630" s="4">
        <f t="shared" si="33"/>
        <v>2.757190447</v>
      </c>
      <c r="K630" s="4">
        <f t="shared" si="34"/>
        <v>3.961945262</v>
      </c>
      <c r="L630" s="4">
        <f t="shared" si="35"/>
        <v>4.681818182</v>
      </c>
      <c r="M630" s="4">
        <f t="shared" si="36"/>
        <v>-0.1537592644</v>
      </c>
      <c r="N630" s="3" t="s">
        <v>91</v>
      </c>
    </row>
    <row r="631" ht="15.75" customHeight="1">
      <c r="A631" s="3" t="s">
        <v>90</v>
      </c>
      <c r="B631" s="3">
        <v>6.46846844E8</v>
      </c>
      <c r="C631" s="9">
        <v>30.795</v>
      </c>
      <c r="D631" s="9">
        <v>96.853</v>
      </c>
      <c r="E631" s="9">
        <v>24.254</v>
      </c>
      <c r="F631" s="5">
        <v>10.3</v>
      </c>
      <c r="G631" s="5">
        <v>2.2</v>
      </c>
      <c r="H631" s="4">
        <f t="shared" si="31"/>
        <v>3.274947601</v>
      </c>
      <c r="I631" s="4">
        <f t="shared" si="32"/>
        <v>2.793312443</v>
      </c>
      <c r="J631" s="4">
        <f t="shared" si="33"/>
        <v>3.034130022</v>
      </c>
      <c r="K631" s="4">
        <f t="shared" si="34"/>
        <v>3.993279459</v>
      </c>
      <c r="L631" s="4">
        <f t="shared" si="35"/>
        <v>4.681818182</v>
      </c>
      <c r="M631" s="4">
        <f t="shared" si="36"/>
        <v>-0.1470665233</v>
      </c>
      <c r="N631" s="3" t="s">
        <v>91</v>
      </c>
    </row>
    <row r="632" ht="15.75" customHeight="1">
      <c r="A632" s="3" t="s">
        <v>90</v>
      </c>
      <c r="B632" s="3">
        <v>6.4702022E8</v>
      </c>
      <c r="C632" s="9">
        <v>11.344</v>
      </c>
      <c r="D632" s="9">
        <v>50.403</v>
      </c>
      <c r="E632" s="9">
        <v>9.582</v>
      </c>
      <c r="F632" s="5">
        <v>10.3</v>
      </c>
      <c r="G632" s="5">
        <v>2.2</v>
      </c>
      <c r="H632" s="4">
        <f t="shared" si="31"/>
        <v>2.318179473</v>
      </c>
      <c r="I632" s="4">
        <f t="shared" si="32"/>
        <v>2.604550198</v>
      </c>
      <c r="J632" s="4">
        <f t="shared" si="33"/>
        <v>2.461364836</v>
      </c>
      <c r="K632" s="4">
        <f t="shared" si="34"/>
        <v>5.260175329</v>
      </c>
      <c r="L632" s="4">
        <f t="shared" si="35"/>
        <v>4.681818182</v>
      </c>
      <c r="M632" s="4">
        <f t="shared" si="36"/>
        <v>0.1235325945</v>
      </c>
      <c r="N632" s="3" t="s">
        <v>91</v>
      </c>
    </row>
    <row r="633" ht="15.75" customHeight="1">
      <c r="A633" s="3" t="s">
        <v>90</v>
      </c>
      <c r="B633" s="3">
        <v>6.47337893E8</v>
      </c>
      <c r="C633" s="9">
        <v>80.997</v>
      </c>
      <c r="D633" s="9">
        <v>277.705</v>
      </c>
      <c r="E633" s="9">
        <v>69.721</v>
      </c>
      <c r="F633" s="5">
        <v>10.3</v>
      </c>
      <c r="G633" s="5">
        <v>2.2</v>
      </c>
      <c r="H633" s="4">
        <f t="shared" si="31"/>
        <v>3.004155849</v>
      </c>
      <c r="I633" s="4">
        <f t="shared" si="32"/>
        <v>2.555806715</v>
      </c>
      <c r="J633" s="4">
        <f t="shared" si="33"/>
        <v>2.779981282</v>
      </c>
      <c r="K633" s="4">
        <f t="shared" si="34"/>
        <v>3.983089743</v>
      </c>
      <c r="L633" s="4">
        <f t="shared" si="35"/>
        <v>4.681818182</v>
      </c>
      <c r="M633" s="4">
        <f t="shared" si="36"/>
        <v>-0.1492429674</v>
      </c>
      <c r="N633" s="3" t="s">
        <v>91</v>
      </c>
    </row>
    <row r="634" ht="15.75" customHeight="1">
      <c r="A634" s="3" t="s">
        <v>90</v>
      </c>
      <c r="B634" s="3">
        <v>6.47541961E8</v>
      </c>
      <c r="C634" s="9">
        <v>22.55</v>
      </c>
      <c r="D634" s="9">
        <v>90.753</v>
      </c>
      <c r="E634" s="9">
        <v>22.303</v>
      </c>
      <c r="F634" s="5">
        <v>10.3</v>
      </c>
      <c r="G634" s="5">
        <v>2.2</v>
      </c>
      <c r="H634" s="4">
        <f t="shared" si="31"/>
        <v>2.559309334</v>
      </c>
      <c r="I634" s="4">
        <f t="shared" si="32"/>
        <v>2.224364435</v>
      </c>
      <c r="J634" s="4">
        <f t="shared" si="33"/>
        <v>2.391836885</v>
      </c>
      <c r="K634" s="4">
        <f t="shared" si="34"/>
        <v>4.069093844</v>
      </c>
      <c r="L634" s="4">
        <f t="shared" si="35"/>
        <v>4.681818182</v>
      </c>
      <c r="M634" s="4">
        <f t="shared" si="36"/>
        <v>-0.1308731596</v>
      </c>
      <c r="N634" s="3" t="s">
        <v>91</v>
      </c>
    </row>
    <row r="635" ht="15.75" customHeight="1">
      <c r="A635" s="3" t="s">
        <v>90</v>
      </c>
      <c r="B635" s="3">
        <v>6.47612273E8</v>
      </c>
      <c r="C635" s="9">
        <v>21.344</v>
      </c>
      <c r="D635" s="9">
        <v>85.616</v>
      </c>
      <c r="E635" s="9">
        <v>19.558</v>
      </c>
      <c r="F635" s="5">
        <v>10.3</v>
      </c>
      <c r="G635" s="5">
        <v>2.2</v>
      </c>
      <c r="H635" s="4">
        <f t="shared" si="31"/>
        <v>2.567781723</v>
      </c>
      <c r="I635" s="4">
        <f t="shared" si="32"/>
        <v>2.400899888</v>
      </c>
      <c r="J635" s="4">
        <f t="shared" si="33"/>
        <v>2.484340805</v>
      </c>
      <c r="K635" s="4">
        <f t="shared" si="34"/>
        <v>4.377543716</v>
      </c>
      <c r="L635" s="4">
        <f t="shared" si="35"/>
        <v>4.681818182</v>
      </c>
      <c r="M635" s="4">
        <f t="shared" si="36"/>
        <v>-0.06499066257</v>
      </c>
      <c r="N635" s="3" t="s">
        <v>91</v>
      </c>
    </row>
    <row r="636" ht="15.75" customHeight="1">
      <c r="A636" s="3" t="s">
        <v>90</v>
      </c>
      <c r="B636" s="3">
        <v>6.47760275E8</v>
      </c>
      <c r="C636" s="9">
        <v>21.398</v>
      </c>
      <c r="D636" s="9">
        <v>82.667</v>
      </c>
      <c r="E636" s="9">
        <v>21.669</v>
      </c>
      <c r="F636" s="5">
        <v>10.3</v>
      </c>
      <c r="G636" s="5">
        <v>2.2</v>
      </c>
      <c r="H636" s="4">
        <f t="shared" si="31"/>
        <v>2.666111024</v>
      </c>
      <c r="I636" s="4">
        <f t="shared" si="32"/>
        <v>2.17248604</v>
      </c>
      <c r="J636" s="4">
        <f t="shared" si="33"/>
        <v>2.419298532</v>
      </c>
      <c r="K636" s="4">
        <f t="shared" si="34"/>
        <v>3.814989155</v>
      </c>
      <c r="L636" s="4">
        <f t="shared" si="35"/>
        <v>4.681818182</v>
      </c>
      <c r="M636" s="4">
        <f t="shared" si="36"/>
        <v>-0.1851479475</v>
      </c>
      <c r="N636" s="3" t="s">
        <v>91</v>
      </c>
    </row>
    <row r="637" ht="15.75" customHeight="1">
      <c r="A637" s="3" t="s">
        <v>90</v>
      </c>
      <c r="B637" s="10">
        <v>6.2685411E8</v>
      </c>
      <c r="C637" s="9">
        <v>81.841</v>
      </c>
      <c r="D637" s="9">
        <v>278.919</v>
      </c>
      <c r="E637" s="9">
        <v>63.127</v>
      </c>
      <c r="F637" s="5">
        <v>10.3</v>
      </c>
      <c r="G637" s="5">
        <v>2.2</v>
      </c>
      <c r="H637" s="4">
        <f t="shared" si="31"/>
        <v>3.022247678</v>
      </c>
      <c r="I637" s="4">
        <f t="shared" si="32"/>
        <v>2.85219003</v>
      </c>
      <c r="J637" s="4">
        <f t="shared" si="33"/>
        <v>2.937218854</v>
      </c>
      <c r="K637" s="4">
        <f t="shared" si="34"/>
        <v>4.418378824</v>
      </c>
      <c r="L637" s="4">
        <f t="shared" si="35"/>
        <v>4.681818182</v>
      </c>
      <c r="M637" s="4">
        <f t="shared" si="36"/>
        <v>-0.05626860078</v>
      </c>
      <c r="N637" s="3" t="s">
        <v>91</v>
      </c>
    </row>
    <row r="638" ht="15.75" customHeight="1">
      <c r="A638" s="3" t="s">
        <v>90</v>
      </c>
      <c r="B638" s="3">
        <v>6.47830588E8</v>
      </c>
      <c r="C638" s="9">
        <v>22.676</v>
      </c>
      <c r="D638" s="9">
        <v>111.061</v>
      </c>
      <c r="E638" s="9">
        <v>24.866</v>
      </c>
      <c r="F638" s="5">
        <v>10.3</v>
      </c>
      <c r="G638" s="5">
        <v>2.2</v>
      </c>
      <c r="H638" s="4">
        <f t="shared" si="31"/>
        <v>2.103013659</v>
      </c>
      <c r="I638" s="4">
        <f t="shared" si="32"/>
        <v>2.006241454</v>
      </c>
      <c r="J638" s="4">
        <f t="shared" si="33"/>
        <v>2.054627557</v>
      </c>
      <c r="K638" s="4">
        <f t="shared" si="34"/>
        <v>4.466379796</v>
      </c>
      <c r="L638" s="4">
        <f t="shared" si="35"/>
        <v>4.681818182</v>
      </c>
      <c r="M638" s="4">
        <f t="shared" si="36"/>
        <v>-0.04601596597</v>
      </c>
      <c r="N638" s="3" t="s">
        <v>91</v>
      </c>
    </row>
    <row r="639" ht="15.75" customHeight="1">
      <c r="A639" s="3" t="s">
        <v>90</v>
      </c>
      <c r="B639" s="3">
        <v>6.47831817E8</v>
      </c>
      <c r="C639" s="9">
        <v>43.026</v>
      </c>
      <c r="D639" s="9">
        <v>164.494</v>
      </c>
      <c r="E639" s="9">
        <v>41.113</v>
      </c>
      <c r="F639" s="5">
        <v>10.3</v>
      </c>
      <c r="G639" s="5">
        <v>2.2</v>
      </c>
      <c r="H639" s="4">
        <f t="shared" si="31"/>
        <v>2.694127445</v>
      </c>
      <c r="I639" s="4">
        <f t="shared" si="32"/>
        <v>2.302366648</v>
      </c>
      <c r="J639" s="4">
        <f t="shared" si="33"/>
        <v>2.498247047</v>
      </c>
      <c r="K639" s="4">
        <f t="shared" si="34"/>
        <v>4.001021575</v>
      </c>
      <c r="L639" s="4">
        <f t="shared" si="35"/>
        <v>4.681818182</v>
      </c>
      <c r="M639" s="4">
        <f t="shared" si="36"/>
        <v>-0.1454128675</v>
      </c>
      <c r="N639" s="3" t="s">
        <v>91</v>
      </c>
    </row>
    <row r="640" ht="15.75" customHeight="1">
      <c r="A640" s="3" t="s">
        <v>90</v>
      </c>
      <c r="B640" s="10">
        <v>6.36984467E8</v>
      </c>
      <c r="C640" s="9">
        <v>63.506</v>
      </c>
      <c r="D640" s="9">
        <v>254.922</v>
      </c>
      <c r="E640" s="9">
        <v>57.271</v>
      </c>
      <c r="F640" s="5">
        <v>10.3</v>
      </c>
      <c r="G640" s="5">
        <v>2.2</v>
      </c>
      <c r="H640" s="4">
        <f t="shared" si="31"/>
        <v>2.565929186</v>
      </c>
      <c r="I640" s="4">
        <f t="shared" si="32"/>
        <v>2.439510398</v>
      </c>
      <c r="J640" s="4">
        <f t="shared" si="33"/>
        <v>2.502719792</v>
      </c>
      <c r="K640" s="4">
        <f t="shared" si="34"/>
        <v>4.451153289</v>
      </c>
      <c r="L640" s="4">
        <f t="shared" si="35"/>
        <v>4.681818182</v>
      </c>
      <c r="M640" s="4">
        <f t="shared" si="36"/>
        <v>-0.04926822959</v>
      </c>
      <c r="N640" s="3" t="s">
        <v>91</v>
      </c>
    </row>
    <row r="641" ht="15.75" customHeight="1">
      <c r="A641" s="3" t="s">
        <v>90</v>
      </c>
      <c r="B641" s="10">
        <v>6.29171138E8</v>
      </c>
      <c r="C641" s="9">
        <v>81.154</v>
      </c>
      <c r="D641" s="9">
        <v>314.568</v>
      </c>
      <c r="E641" s="9">
        <v>72.277</v>
      </c>
      <c r="F641" s="5">
        <v>10.3</v>
      </c>
      <c r="G641" s="5">
        <v>2.2</v>
      </c>
      <c r="H641" s="4">
        <f t="shared" si="31"/>
        <v>2.657251214</v>
      </c>
      <c r="I641" s="4">
        <f t="shared" si="32"/>
        <v>2.470202139</v>
      </c>
      <c r="J641" s="4">
        <f t="shared" si="33"/>
        <v>2.563726677</v>
      </c>
      <c r="K641" s="4">
        <f t="shared" si="34"/>
        <v>4.352255904</v>
      </c>
      <c r="L641" s="4">
        <f t="shared" si="35"/>
        <v>4.681818182</v>
      </c>
      <c r="M641" s="4">
        <f t="shared" si="36"/>
        <v>-0.07039194276</v>
      </c>
      <c r="N641" s="3" t="s">
        <v>91</v>
      </c>
    </row>
    <row r="642" ht="15.75" customHeight="1">
      <c r="A642" s="3" t="s">
        <v>90</v>
      </c>
      <c r="B642" s="10">
        <v>1.39690851E8</v>
      </c>
      <c r="C642" s="9">
        <v>96.298</v>
      </c>
      <c r="D642" s="9">
        <v>331.103</v>
      </c>
      <c r="E642" s="9">
        <v>86.833</v>
      </c>
      <c r="F642" s="5">
        <v>10.3</v>
      </c>
      <c r="G642" s="5">
        <v>2.2</v>
      </c>
      <c r="H642" s="4">
        <f t="shared" si="31"/>
        <v>2.995652108</v>
      </c>
      <c r="I642" s="4">
        <f t="shared" si="32"/>
        <v>2.439805143</v>
      </c>
      <c r="J642" s="4">
        <f t="shared" si="33"/>
        <v>2.717728626</v>
      </c>
      <c r="K642" s="4">
        <f t="shared" si="34"/>
        <v>3.81310101</v>
      </c>
      <c r="L642" s="4">
        <f t="shared" si="35"/>
        <v>4.681818182</v>
      </c>
      <c r="M642" s="4">
        <f t="shared" si="36"/>
        <v>-0.1855512406</v>
      </c>
      <c r="N642" s="3" t="s">
        <v>91</v>
      </c>
    </row>
    <row r="643" ht="15.75" customHeight="1">
      <c r="A643" s="3" t="s">
        <v>90</v>
      </c>
      <c r="B643" s="10">
        <v>1.89106041E8</v>
      </c>
      <c r="C643" s="9">
        <v>84.528</v>
      </c>
      <c r="D643" s="9">
        <v>344.836</v>
      </c>
      <c r="E643" s="9">
        <v>80.056</v>
      </c>
      <c r="F643" s="5">
        <v>10.3</v>
      </c>
      <c r="G643" s="5">
        <v>2.2</v>
      </c>
      <c r="H643" s="4">
        <f t="shared" si="31"/>
        <v>2.524789755</v>
      </c>
      <c r="I643" s="4">
        <f t="shared" si="32"/>
        <v>2.322893974</v>
      </c>
      <c r="J643" s="4">
        <f t="shared" si="33"/>
        <v>2.423841865</v>
      </c>
      <c r="K643" s="4">
        <f t="shared" si="34"/>
        <v>4.307434796</v>
      </c>
      <c r="L643" s="4">
        <f t="shared" si="35"/>
        <v>4.681818182</v>
      </c>
      <c r="M643" s="4">
        <f t="shared" si="36"/>
        <v>-0.07996538345</v>
      </c>
      <c r="N643" s="3" t="s">
        <v>91</v>
      </c>
    </row>
    <row r="644" ht="15.75" customHeight="1">
      <c r="A644" s="3" t="s">
        <v>90</v>
      </c>
      <c r="B644" s="10">
        <v>5.18511031E8</v>
      </c>
      <c r="C644" s="9">
        <v>89.506</v>
      </c>
      <c r="D644" s="9">
        <v>374.957</v>
      </c>
      <c r="E644" s="9">
        <v>78.772</v>
      </c>
      <c r="F644" s="5">
        <v>10.3</v>
      </c>
      <c r="G644" s="5">
        <v>2.2</v>
      </c>
      <c r="H644" s="4">
        <f t="shared" si="31"/>
        <v>2.458713399</v>
      </c>
      <c r="I644" s="4">
        <f t="shared" si="32"/>
        <v>2.499786726</v>
      </c>
      <c r="J644" s="4">
        <f t="shared" si="33"/>
        <v>2.479250063</v>
      </c>
      <c r="K644" s="4">
        <f t="shared" si="34"/>
        <v>4.760028944</v>
      </c>
      <c r="L644" s="4">
        <f t="shared" si="35"/>
        <v>4.681818182</v>
      </c>
      <c r="M644" s="4">
        <f t="shared" si="36"/>
        <v>0.0167052114</v>
      </c>
      <c r="N644" s="3" t="s">
        <v>91</v>
      </c>
    </row>
    <row r="645" ht="15.75" customHeight="1">
      <c r="A645" s="3" t="s">
        <v>90</v>
      </c>
      <c r="B645" s="10">
        <v>6.32949779E8</v>
      </c>
      <c r="C645" s="9">
        <v>26.669</v>
      </c>
      <c r="D645" s="9">
        <v>107.1</v>
      </c>
      <c r="E645" s="9">
        <v>27.735</v>
      </c>
      <c r="F645" s="5">
        <v>10.3</v>
      </c>
      <c r="G645" s="5">
        <v>2.2</v>
      </c>
      <c r="H645" s="4">
        <f t="shared" si="31"/>
        <v>2.564805789</v>
      </c>
      <c r="I645" s="4">
        <f t="shared" si="32"/>
        <v>2.115442582</v>
      </c>
      <c r="J645" s="4">
        <f t="shared" si="33"/>
        <v>2.340124185</v>
      </c>
      <c r="K645" s="4">
        <f t="shared" si="34"/>
        <v>3.861546782</v>
      </c>
      <c r="L645" s="4">
        <f t="shared" si="35"/>
        <v>4.681818182</v>
      </c>
      <c r="M645" s="4">
        <f t="shared" si="36"/>
        <v>-0.1752036</v>
      </c>
      <c r="N645" s="3" t="s">
        <v>91</v>
      </c>
    </row>
    <row r="646" ht="15.75" customHeight="1">
      <c r="A646" s="3" t="s">
        <v>90</v>
      </c>
      <c r="B646" s="10">
        <v>6.15332103E8</v>
      </c>
      <c r="C646" s="9">
        <v>130.007</v>
      </c>
      <c r="D646" s="9">
        <v>473.701</v>
      </c>
      <c r="E646" s="9">
        <v>113.759</v>
      </c>
      <c r="F646" s="5">
        <v>10.3</v>
      </c>
      <c r="G646" s="5">
        <v>2.2</v>
      </c>
      <c r="H646" s="4">
        <f t="shared" si="31"/>
        <v>2.826829793</v>
      </c>
      <c r="I646" s="4">
        <f t="shared" si="32"/>
        <v>2.514222171</v>
      </c>
      <c r="J646" s="4">
        <f t="shared" si="33"/>
        <v>2.670525982</v>
      </c>
      <c r="K646" s="4">
        <f t="shared" si="34"/>
        <v>4.16407493</v>
      </c>
      <c r="L646" s="4">
        <f t="shared" si="35"/>
        <v>4.681818182</v>
      </c>
      <c r="M646" s="4">
        <f t="shared" si="36"/>
        <v>-0.1105859372</v>
      </c>
      <c r="N646" s="3" t="s">
        <v>91</v>
      </c>
    </row>
    <row r="647" ht="15.75" customHeight="1">
      <c r="A647" s="3" t="s">
        <v>90</v>
      </c>
      <c r="B647" s="10">
        <v>4.02919671E8</v>
      </c>
      <c r="C647" s="9">
        <v>69.002</v>
      </c>
      <c r="D647" s="9">
        <v>253.36</v>
      </c>
      <c r="E647" s="9">
        <v>59.525</v>
      </c>
      <c r="F647" s="5">
        <v>10.3</v>
      </c>
      <c r="G647" s="5">
        <v>2.2</v>
      </c>
      <c r="H647" s="4">
        <f t="shared" si="31"/>
        <v>2.80518077</v>
      </c>
      <c r="I647" s="4">
        <f t="shared" si="32"/>
        <v>2.550262915</v>
      </c>
      <c r="J647" s="4">
        <f t="shared" si="33"/>
        <v>2.677721843</v>
      </c>
      <c r="K647" s="4">
        <f t="shared" si="34"/>
        <v>4.256362873</v>
      </c>
      <c r="L647" s="4">
        <f t="shared" si="35"/>
        <v>4.681818182</v>
      </c>
      <c r="M647" s="4">
        <f t="shared" si="36"/>
        <v>-0.09087394951</v>
      </c>
      <c r="N647" s="3" t="s">
        <v>91</v>
      </c>
    </row>
    <row r="648" ht="15.75" customHeight="1">
      <c r="A648" s="3" t="s">
        <v>90</v>
      </c>
      <c r="B648" s="10">
        <v>2.71132561E8</v>
      </c>
      <c r="C648" s="9">
        <v>76.724</v>
      </c>
      <c r="D648" s="9">
        <v>313.849</v>
      </c>
      <c r="E648" s="9">
        <v>69.123</v>
      </c>
      <c r="F648" s="5">
        <v>10.3</v>
      </c>
      <c r="G648" s="5">
        <v>2.2</v>
      </c>
      <c r="H648" s="4">
        <f t="shared" si="31"/>
        <v>2.517953538</v>
      </c>
      <c r="I648" s="4">
        <f t="shared" si="32"/>
        <v>2.441919477</v>
      </c>
      <c r="J648" s="4">
        <f t="shared" si="33"/>
        <v>2.479936508</v>
      </c>
      <c r="K648" s="4">
        <f t="shared" si="34"/>
        <v>4.5404424</v>
      </c>
      <c r="L648" s="4">
        <f t="shared" si="35"/>
        <v>4.681818182</v>
      </c>
      <c r="M648" s="4">
        <f t="shared" si="36"/>
        <v>-0.03019676898</v>
      </c>
      <c r="N648" s="3" t="s">
        <v>91</v>
      </c>
    </row>
    <row r="649" ht="15.75" customHeight="1">
      <c r="A649" s="3" t="s">
        <v>90</v>
      </c>
      <c r="B649" s="10">
        <v>8.3854981E7</v>
      </c>
      <c r="C649" s="9">
        <v>19.847</v>
      </c>
      <c r="D649" s="9">
        <v>90.888</v>
      </c>
      <c r="E649" s="9">
        <v>23.501</v>
      </c>
      <c r="F649" s="5">
        <v>10.3</v>
      </c>
      <c r="G649" s="5">
        <v>2.2</v>
      </c>
      <c r="H649" s="4">
        <f t="shared" si="31"/>
        <v>2.249186911</v>
      </c>
      <c r="I649" s="4">
        <f t="shared" si="32"/>
        <v>1.85793796</v>
      </c>
      <c r="J649" s="4">
        <f t="shared" si="33"/>
        <v>2.053562436</v>
      </c>
      <c r="K649" s="4">
        <f t="shared" si="34"/>
        <v>3.867409897</v>
      </c>
      <c r="L649" s="4">
        <f t="shared" si="35"/>
        <v>4.681818182</v>
      </c>
      <c r="M649" s="4">
        <f t="shared" si="36"/>
        <v>-0.173951284</v>
      </c>
      <c r="N649" s="3" t="s">
        <v>91</v>
      </c>
    </row>
    <row r="650" ht="15.75" customHeight="1">
      <c r="A650" s="3" t="s">
        <v>90</v>
      </c>
      <c r="B650" s="10">
        <v>6.4008036E7</v>
      </c>
      <c r="C650" s="9">
        <v>71.063</v>
      </c>
      <c r="D650" s="9">
        <v>231.366</v>
      </c>
      <c r="E650" s="9">
        <v>61.27</v>
      </c>
      <c r="F650" s="5">
        <v>10.3</v>
      </c>
      <c r="G650" s="5">
        <v>2.2</v>
      </c>
      <c r="H650" s="4">
        <f t="shared" si="31"/>
        <v>3.163597504</v>
      </c>
      <c r="I650" s="4">
        <f t="shared" si="32"/>
        <v>2.551633752</v>
      </c>
      <c r="J650" s="4">
        <f t="shared" si="33"/>
        <v>2.857615628</v>
      </c>
      <c r="K650" s="4">
        <f t="shared" si="34"/>
        <v>3.776171046</v>
      </c>
      <c r="L650" s="4">
        <f t="shared" si="35"/>
        <v>4.681818182</v>
      </c>
      <c r="M650" s="4">
        <f t="shared" si="36"/>
        <v>-0.193439194</v>
      </c>
      <c r="N650" s="3" t="s">
        <v>91</v>
      </c>
    </row>
    <row r="651" ht="15.75" customHeight="1">
      <c r="A651" s="3" t="s">
        <v>90</v>
      </c>
      <c r="B651" s="8">
        <v>6.20569895E8</v>
      </c>
      <c r="C651" s="9">
        <v>67.766</v>
      </c>
      <c r="D651" s="9">
        <v>283.007</v>
      </c>
      <c r="E651" s="9">
        <v>61.351</v>
      </c>
      <c r="F651" s="5">
        <v>10.3</v>
      </c>
      <c r="G651" s="5">
        <v>2.2</v>
      </c>
      <c r="H651" s="4">
        <f t="shared" si="31"/>
        <v>2.466334048</v>
      </c>
      <c r="I651" s="4">
        <f t="shared" si="32"/>
        <v>2.430037</v>
      </c>
      <c r="J651" s="4">
        <f t="shared" si="33"/>
        <v>2.448185524</v>
      </c>
      <c r="K651" s="4">
        <f t="shared" si="34"/>
        <v>4.612915845</v>
      </c>
      <c r="L651" s="4">
        <f t="shared" si="35"/>
        <v>4.681818182</v>
      </c>
      <c r="M651" s="4">
        <f t="shared" si="36"/>
        <v>-0.014717004</v>
      </c>
      <c r="N651" s="3" t="s">
        <v>91</v>
      </c>
    </row>
    <row r="652" ht="15.75" customHeight="1">
      <c r="A652" s="3" t="s">
        <v>92</v>
      </c>
      <c r="B652" s="3">
        <v>3.11033411E8</v>
      </c>
      <c r="C652" s="9">
        <v>36.014</v>
      </c>
      <c r="D652" s="9">
        <v>162.019</v>
      </c>
      <c r="E652" s="9">
        <v>34.033</v>
      </c>
      <c r="F652" s="5">
        <v>15.0</v>
      </c>
      <c r="G652" s="5">
        <v>3.2</v>
      </c>
      <c r="H652" s="4">
        <f t="shared" si="31"/>
        <v>3.334238577</v>
      </c>
      <c r="I652" s="4">
        <f t="shared" si="32"/>
        <v>3.386266271</v>
      </c>
      <c r="J652" s="4">
        <f t="shared" si="33"/>
        <v>3.360252424</v>
      </c>
      <c r="K652" s="4">
        <f t="shared" si="34"/>
        <v>4.760644081</v>
      </c>
      <c r="L652" s="4">
        <f t="shared" si="35"/>
        <v>4.6875</v>
      </c>
      <c r="M652" s="4">
        <f t="shared" si="36"/>
        <v>0.01560407056</v>
      </c>
      <c r="N652" s="3" t="s">
        <v>93</v>
      </c>
    </row>
    <row r="653" ht="15.75" customHeight="1">
      <c r="A653" s="3" t="s">
        <v>92</v>
      </c>
      <c r="B653" s="3">
        <v>5.08454361E8</v>
      </c>
      <c r="C653" s="9">
        <v>37.964</v>
      </c>
      <c r="D653" s="9">
        <v>170.849</v>
      </c>
      <c r="E653" s="9">
        <v>37.845</v>
      </c>
      <c r="F653" s="5">
        <v>15.0</v>
      </c>
      <c r="G653" s="5">
        <v>3.2</v>
      </c>
      <c r="H653" s="4">
        <f t="shared" si="31"/>
        <v>3.333118719</v>
      </c>
      <c r="I653" s="4">
        <f t="shared" si="32"/>
        <v>3.210062095</v>
      </c>
      <c r="J653" s="4">
        <f t="shared" si="33"/>
        <v>3.271590407</v>
      </c>
      <c r="K653" s="4">
        <f t="shared" si="34"/>
        <v>4.514440481</v>
      </c>
      <c r="L653" s="4">
        <f t="shared" si="35"/>
        <v>4.6875</v>
      </c>
      <c r="M653" s="4">
        <f t="shared" si="36"/>
        <v>-0.03691936407</v>
      </c>
      <c r="N653" s="3" t="s">
        <v>93</v>
      </c>
    </row>
    <row r="654" ht="15.75" customHeight="1">
      <c r="A654" s="3" t="s">
        <v>92</v>
      </c>
      <c r="B654" s="3">
        <v>3.27466751E8</v>
      </c>
      <c r="C654" s="9">
        <v>33.213</v>
      </c>
      <c r="D654" s="9">
        <v>163.825</v>
      </c>
      <c r="E654" s="9">
        <v>37.567</v>
      </c>
      <c r="F654" s="5">
        <v>15.0</v>
      </c>
      <c r="G654" s="5">
        <v>3.2</v>
      </c>
      <c r="H654" s="4">
        <f t="shared" si="31"/>
        <v>3.04101938</v>
      </c>
      <c r="I654" s="4">
        <f t="shared" si="32"/>
        <v>2.829121303</v>
      </c>
      <c r="J654" s="4">
        <f t="shared" si="33"/>
        <v>2.935070342</v>
      </c>
      <c r="K654" s="4">
        <f t="shared" si="34"/>
        <v>4.360875236</v>
      </c>
      <c r="L654" s="4">
        <f t="shared" si="35"/>
        <v>4.6875</v>
      </c>
      <c r="M654" s="4">
        <f t="shared" si="36"/>
        <v>-0.0696799496</v>
      </c>
      <c r="N654" s="3" t="s">
        <v>93</v>
      </c>
    </row>
    <row r="655" ht="15.75" customHeight="1">
      <c r="A655" s="3" t="s">
        <v>92</v>
      </c>
      <c r="B655" s="3">
        <v>1.67524031E8</v>
      </c>
      <c r="C655" s="9">
        <v>30.412</v>
      </c>
      <c r="D655" s="9">
        <v>154.998</v>
      </c>
      <c r="E655" s="9">
        <v>29.741</v>
      </c>
      <c r="F655" s="5">
        <v>15.0</v>
      </c>
      <c r="G655" s="5">
        <v>3.2</v>
      </c>
      <c r="H655" s="4">
        <f t="shared" si="31"/>
        <v>2.94313475</v>
      </c>
      <c r="I655" s="4">
        <f t="shared" si="32"/>
        <v>3.272196631</v>
      </c>
      <c r="J655" s="4">
        <f t="shared" si="33"/>
        <v>3.107665691</v>
      </c>
      <c r="K655" s="4">
        <f t="shared" si="34"/>
        <v>5.211593423</v>
      </c>
      <c r="L655" s="4">
        <f t="shared" si="35"/>
        <v>4.6875</v>
      </c>
      <c r="M655" s="4">
        <f t="shared" si="36"/>
        <v>0.111806597</v>
      </c>
      <c r="N655" s="3" t="s">
        <v>93</v>
      </c>
    </row>
    <row r="656" ht="15.75" customHeight="1">
      <c r="A656" s="3" t="s">
        <v>92</v>
      </c>
      <c r="B656" s="3">
        <v>1.70673271E8</v>
      </c>
      <c r="C656" s="9">
        <v>34.163</v>
      </c>
      <c r="D656" s="9">
        <v>150.333</v>
      </c>
      <c r="E656" s="9">
        <v>32.688</v>
      </c>
      <c r="F656" s="5">
        <v>15.0</v>
      </c>
      <c r="G656" s="5">
        <v>3.2</v>
      </c>
      <c r="H656" s="4">
        <f t="shared" si="31"/>
        <v>3.408732614</v>
      </c>
      <c r="I656" s="4">
        <f t="shared" si="32"/>
        <v>3.344395497</v>
      </c>
      <c r="J656" s="4">
        <f t="shared" si="33"/>
        <v>3.376564055</v>
      </c>
      <c r="K656" s="4">
        <f t="shared" si="34"/>
        <v>4.599027166</v>
      </c>
      <c r="L656" s="4">
        <f t="shared" si="35"/>
        <v>4.6875</v>
      </c>
      <c r="M656" s="4">
        <f t="shared" si="36"/>
        <v>-0.0188742046</v>
      </c>
      <c r="N656" s="3" t="s">
        <v>93</v>
      </c>
    </row>
    <row r="657" ht="15.75" customHeight="1">
      <c r="A657" s="3" t="s">
        <v>92</v>
      </c>
      <c r="B657" s="3">
        <v>4.53651891E8</v>
      </c>
      <c r="C657" s="9">
        <v>35.254</v>
      </c>
      <c r="D657" s="9">
        <v>161.047</v>
      </c>
      <c r="E657" s="9">
        <v>34.792</v>
      </c>
      <c r="F657" s="5">
        <v>15.0</v>
      </c>
      <c r="G657" s="5">
        <v>3.2</v>
      </c>
      <c r="H657" s="4">
        <f t="shared" si="31"/>
        <v>3.283575602</v>
      </c>
      <c r="I657" s="4">
        <f t="shared" si="32"/>
        <v>3.242492527</v>
      </c>
      <c r="J657" s="4">
        <f t="shared" si="33"/>
        <v>3.263034065</v>
      </c>
      <c r="K657" s="4">
        <f t="shared" si="34"/>
        <v>4.62885146</v>
      </c>
      <c r="L657" s="4">
        <f t="shared" si="35"/>
        <v>4.6875</v>
      </c>
      <c r="M657" s="4">
        <f t="shared" si="36"/>
        <v>-0.01251168851</v>
      </c>
      <c r="N657" s="3" t="s">
        <v>93</v>
      </c>
    </row>
    <row r="658" ht="15.75" customHeight="1">
      <c r="A658" s="3" t="s">
        <v>92</v>
      </c>
      <c r="B658" s="3">
        <v>4.40505541E8</v>
      </c>
      <c r="C658" s="9">
        <v>28.858</v>
      </c>
      <c r="D658" s="9">
        <v>112.361</v>
      </c>
      <c r="E658" s="9">
        <v>30.118</v>
      </c>
      <c r="F658" s="5">
        <v>15.0</v>
      </c>
      <c r="G658" s="5">
        <v>3.2</v>
      </c>
      <c r="H658" s="4">
        <f t="shared" si="31"/>
        <v>3.852493303</v>
      </c>
      <c r="I658" s="4">
        <f t="shared" si="32"/>
        <v>3.066126569</v>
      </c>
      <c r="J658" s="4">
        <f t="shared" si="33"/>
        <v>3.459309936</v>
      </c>
      <c r="K658" s="4">
        <f t="shared" si="34"/>
        <v>3.730692609</v>
      </c>
      <c r="L658" s="4">
        <f t="shared" si="35"/>
        <v>4.6875</v>
      </c>
      <c r="M658" s="4">
        <f t="shared" si="36"/>
        <v>-0.2041189101</v>
      </c>
      <c r="N658" s="3" t="s">
        <v>93</v>
      </c>
    </row>
    <row r="659" ht="15.75" customHeight="1">
      <c r="A659" s="3" t="s">
        <v>92</v>
      </c>
      <c r="B659" s="3">
        <v>1.43691661E8</v>
      </c>
      <c r="C659" s="9">
        <v>33.838</v>
      </c>
      <c r="D659" s="9">
        <v>138.452</v>
      </c>
      <c r="E659" s="9">
        <v>31.894</v>
      </c>
      <c r="F659" s="5">
        <v>15.0</v>
      </c>
      <c r="G659" s="5">
        <v>3.2</v>
      </c>
      <c r="H659" s="4">
        <f t="shared" si="31"/>
        <v>3.666035882</v>
      </c>
      <c r="I659" s="4">
        <f t="shared" si="32"/>
        <v>3.39504609</v>
      </c>
      <c r="J659" s="4">
        <f t="shared" si="33"/>
        <v>3.530540986</v>
      </c>
      <c r="K659" s="4">
        <f t="shared" si="34"/>
        <v>4.341004578</v>
      </c>
      <c r="L659" s="4">
        <f t="shared" si="35"/>
        <v>4.6875</v>
      </c>
      <c r="M659" s="4">
        <f t="shared" si="36"/>
        <v>-0.07391902343</v>
      </c>
      <c r="N659" s="3" t="s">
        <v>93</v>
      </c>
    </row>
    <row r="660" ht="15.75" customHeight="1">
      <c r="A660" s="3" t="s">
        <v>92</v>
      </c>
      <c r="B660" s="3">
        <v>6.14260515E8</v>
      </c>
      <c r="C660" s="9">
        <v>25.0</v>
      </c>
      <c r="D660" s="9">
        <v>12.067</v>
      </c>
      <c r="E660" s="9">
        <v>25.125</v>
      </c>
      <c r="F660" s="5">
        <v>15.0</v>
      </c>
      <c r="G660" s="5">
        <v>3.2</v>
      </c>
      <c r="H660" s="4">
        <f t="shared" si="31"/>
        <v>31.0764896</v>
      </c>
      <c r="I660" s="4">
        <f t="shared" si="32"/>
        <v>3.184079602</v>
      </c>
      <c r="J660" s="4">
        <f t="shared" si="33"/>
        <v>17.1302846</v>
      </c>
      <c r="K660" s="4">
        <f t="shared" si="34"/>
        <v>0.480278607</v>
      </c>
      <c r="L660" s="4">
        <f t="shared" si="35"/>
        <v>4.6875</v>
      </c>
      <c r="M660" s="4">
        <f t="shared" si="36"/>
        <v>-0.8975405638</v>
      </c>
      <c r="N660" s="3" t="s">
        <v>93</v>
      </c>
    </row>
    <row r="661" ht="15.75" customHeight="1">
      <c r="A661" s="3" t="s">
        <v>92</v>
      </c>
      <c r="B661" s="3">
        <v>6.1504544E8</v>
      </c>
      <c r="C661" s="9">
        <v>37.041</v>
      </c>
      <c r="D661" s="9">
        <v>171.555</v>
      </c>
      <c r="E661" s="9">
        <v>38.552</v>
      </c>
      <c r="F661" s="5">
        <v>15.0</v>
      </c>
      <c r="G661" s="5">
        <v>3.2</v>
      </c>
      <c r="H661" s="4">
        <f t="shared" si="31"/>
        <v>3.23869896</v>
      </c>
      <c r="I661" s="4">
        <f t="shared" si="32"/>
        <v>3.074579788</v>
      </c>
      <c r="J661" s="4">
        <f t="shared" si="33"/>
        <v>3.156639374</v>
      </c>
      <c r="K661" s="4">
        <f t="shared" si="34"/>
        <v>4.449963685</v>
      </c>
      <c r="L661" s="4">
        <f t="shared" si="35"/>
        <v>4.6875</v>
      </c>
      <c r="M661" s="4">
        <f t="shared" si="36"/>
        <v>-0.05067441378</v>
      </c>
      <c r="N661" s="3" t="s">
        <v>93</v>
      </c>
    </row>
    <row r="662" ht="15.75" customHeight="1">
      <c r="A662" s="3" t="s">
        <v>92</v>
      </c>
      <c r="B662" s="3">
        <v>1.71978041E8</v>
      </c>
      <c r="C662" s="9">
        <v>32.219</v>
      </c>
      <c r="D662" s="9">
        <v>199.249</v>
      </c>
      <c r="E662" s="9">
        <v>30.208</v>
      </c>
      <c r="F662" s="5">
        <v>15.0</v>
      </c>
      <c r="G662" s="5">
        <v>3.2</v>
      </c>
      <c r="H662" s="4">
        <f t="shared" si="31"/>
        <v>2.425532876</v>
      </c>
      <c r="I662" s="4">
        <f t="shared" si="32"/>
        <v>3.413029661</v>
      </c>
      <c r="J662" s="4">
        <f t="shared" si="33"/>
        <v>2.919281268</v>
      </c>
      <c r="K662" s="4">
        <f t="shared" si="34"/>
        <v>6.595901748</v>
      </c>
      <c r="L662" s="4">
        <f t="shared" si="35"/>
        <v>4.6875</v>
      </c>
      <c r="M662" s="4">
        <f t="shared" si="36"/>
        <v>0.4071257062</v>
      </c>
      <c r="N662" s="3" t="s">
        <v>93</v>
      </c>
    </row>
    <row r="663" ht="15.75" customHeight="1">
      <c r="A663" s="3" t="s">
        <v>92</v>
      </c>
      <c r="B663" s="10">
        <v>1.17804761E8</v>
      </c>
      <c r="C663" s="9">
        <v>110.378</v>
      </c>
      <c r="D663" s="9">
        <v>436.4</v>
      </c>
      <c r="E663" s="9">
        <v>80.05</v>
      </c>
      <c r="F663" s="5">
        <v>15.0</v>
      </c>
      <c r="G663" s="5">
        <v>3.2</v>
      </c>
      <c r="H663" s="4">
        <f t="shared" si="31"/>
        <v>3.793927589</v>
      </c>
      <c r="I663" s="4">
        <f t="shared" si="32"/>
        <v>4.412362274</v>
      </c>
      <c r="J663" s="4">
        <f t="shared" si="33"/>
        <v>4.103144931</v>
      </c>
      <c r="K663" s="4">
        <f t="shared" si="34"/>
        <v>5.451592755</v>
      </c>
      <c r="L663" s="4">
        <f t="shared" si="35"/>
        <v>4.6875</v>
      </c>
      <c r="M663" s="4">
        <f t="shared" si="36"/>
        <v>0.1630064543</v>
      </c>
      <c r="N663" s="3" t="s">
        <v>93</v>
      </c>
    </row>
    <row r="664" ht="15.75" customHeight="1">
      <c r="A664" s="3" t="s">
        <v>92</v>
      </c>
      <c r="B664" s="3">
        <v>6.26897451E8</v>
      </c>
      <c r="C664" s="9">
        <v>36.347</v>
      </c>
      <c r="D664" s="9">
        <v>154.52</v>
      </c>
      <c r="E664" s="9">
        <v>32.561</v>
      </c>
      <c r="F664" s="5">
        <v>15.0</v>
      </c>
      <c r="G664" s="5">
        <v>3.2</v>
      </c>
      <c r="H664" s="4">
        <f t="shared" si="31"/>
        <v>3.528378203</v>
      </c>
      <c r="I664" s="4">
        <f t="shared" si="32"/>
        <v>3.572077025</v>
      </c>
      <c r="J664" s="4">
        <f t="shared" si="33"/>
        <v>3.550227614</v>
      </c>
      <c r="K664" s="4">
        <f t="shared" si="34"/>
        <v>4.745554498</v>
      </c>
      <c r="L664" s="4">
        <f t="shared" si="35"/>
        <v>4.6875</v>
      </c>
      <c r="M664" s="4">
        <f t="shared" si="36"/>
        <v>0.01238495951</v>
      </c>
      <c r="N664" s="3" t="s">
        <v>93</v>
      </c>
    </row>
    <row r="665" ht="15.75" customHeight="1">
      <c r="A665" s="3" t="s">
        <v>92</v>
      </c>
      <c r="B665" s="3">
        <v>3.19112861E8</v>
      </c>
      <c r="C665" s="9">
        <v>28.657</v>
      </c>
      <c r="D665" s="9">
        <v>128.456</v>
      </c>
      <c r="E665" s="9">
        <v>28.503</v>
      </c>
      <c r="F665" s="5">
        <v>15.0</v>
      </c>
      <c r="G665" s="5">
        <v>3.2</v>
      </c>
      <c r="H665" s="4">
        <f t="shared" si="31"/>
        <v>3.346320919</v>
      </c>
      <c r="I665" s="4">
        <f t="shared" si="32"/>
        <v>3.217289408</v>
      </c>
      <c r="J665" s="4">
        <f t="shared" si="33"/>
        <v>3.281805164</v>
      </c>
      <c r="K665" s="4">
        <f t="shared" si="34"/>
        <v>4.506753675</v>
      </c>
      <c r="L665" s="4">
        <f t="shared" si="35"/>
        <v>4.6875</v>
      </c>
      <c r="M665" s="4">
        <f t="shared" si="36"/>
        <v>-0.03855921599</v>
      </c>
      <c r="N665" s="3" t="s">
        <v>93</v>
      </c>
    </row>
    <row r="666" ht="15.75" customHeight="1">
      <c r="A666" s="3" t="s">
        <v>92</v>
      </c>
      <c r="B666" s="3">
        <v>5.88077831E8</v>
      </c>
      <c r="C666" s="9">
        <v>43.335</v>
      </c>
      <c r="D666" s="9">
        <v>187.833</v>
      </c>
      <c r="E666" s="9">
        <v>44.045</v>
      </c>
      <c r="F666" s="5">
        <v>15.0</v>
      </c>
      <c r="G666" s="5">
        <v>3.2</v>
      </c>
      <c r="H666" s="4">
        <f t="shared" si="31"/>
        <v>3.460653879</v>
      </c>
      <c r="I666" s="4">
        <f t="shared" si="32"/>
        <v>3.148416392</v>
      </c>
      <c r="J666" s="4">
        <f t="shared" si="33"/>
        <v>3.304535136</v>
      </c>
      <c r="K666" s="4">
        <f t="shared" si="34"/>
        <v>4.264570326</v>
      </c>
      <c r="L666" s="4">
        <f t="shared" si="35"/>
        <v>4.6875</v>
      </c>
      <c r="M666" s="4">
        <f t="shared" si="36"/>
        <v>-0.09022499716</v>
      </c>
      <c r="N666" s="3" t="s">
        <v>93</v>
      </c>
    </row>
    <row r="667" ht="15.75" customHeight="1">
      <c r="A667" s="3" t="s">
        <v>94</v>
      </c>
      <c r="B667" s="10">
        <v>6.23422081E8</v>
      </c>
      <c r="C667" s="9">
        <v>41.512</v>
      </c>
      <c r="D667" s="9">
        <v>251.794</v>
      </c>
      <c r="E667" s="9">
        <v>114.004</v>
      </c>
      <c r="F667" s="5">
        <v>88.0</v>
      </c>
      <c r="G667" s="5">
        <v>32.3</v>
      </c>
      <c r="H667" s="4">
        <f t="shared" si="31"/>
        <v>14.50811378</v>
      </c>
      <c r="I667" s="4">
        <f t="shared" si="32"/>
        <v>11.76132066</v>
      </c>
      <c r="J667" s="4">
        <f t="shared" si="33"/>
        <v>13.13471722</v>
      </c>
      <c r="K667" s="4">
        <f t="shared" si="34"/>
        <v>2.208641802</v>
      </c>
      <c r="L667" s="4">
        <f t="shared" si="35"/>
        <v>2.724458204</v>
      </c>
      <c r="M667" s="4">
        <f t="shared" si="36"/>
        <v>-0.1893280658</v>
      </c>
      <c r="N667" s="3" t="s">
        <v>95</v>
      </c>
    </row>
    <row r="668" ht="15.75" customHeight="1">
      <c r="A668" s="3" t="s">
        <v>94</v>
      </c>
      <c r="B668" s="10">
        <v>4.0432341E7</v>
      </c>
      <c r="C668" s="9">
        <v>122.0</v>
      </c>
      <c r="D668" s="9">
        <v>761.577</v>
      </c>
      <c r="E668" s="9">
        <v>400.605</v>
      </c>
      <c r="F668" s="5">
        <v>88.0</v>
      </c>
      <c r="G668" s="5">
        <v>32.3</v>
      </c>
      <c r="H668" s="4">
        <f t="shared" si="31"/>
        <v>14.09706438</v>
      </c>
      <c r="I668" s="4">
        <f t="shared" si="32"/>
        <v>9.836622109</v>
      </c>
      <c r="J668" s="4">
        <f t="shared" si="33"/>
        <v>11.96684324</v>
      </c>
      <c r="K668" s="4">
        <f t="shared" si="34"/>
        <v>1.901067136</v>
      </c>
      <c r="L668" s="4">
        <f t="shared" si="35"/>
        <v>2.724458204</v>
      </c>
      <c r="M668" s="4">
        <f t="shared" si="36"/>
        <v>-0.302221949</v>
      </c>
      <c r="N668" s="3" t="s">
        <v>95</v>
      </c>
    </row>
    <row r="669" ht="15.75" customHeight="1">
      <c r="A669" s="3" t="s">
        <v>94</v>
      </c>
      <c r="B669" s="3">
        <v>6.1354712E8</v>
      </c>
      <c r="C669" s="9">
        <v>47.47</v>
      </c>
      <c r="D669" s="9">
        <v>363.056</v>
      </c>
      <c r="E669" s="9">
        <v>157.089</v>
      </c>
      <c r="F669" s="5">
        <v>88.0</v>
      </c>
      <c r="G669" s="5">
        <v>32.3</v>
      </c>
      <c r="H669" s="4">
        <f t="shared" si="31"/>
        <v>11.50610374</v>
      </c>
      <c r="I669" s="4">
        <f t="shared" si="32"/>
        <v>9.760587947</v>
      </c>
      <c r="J669" s="4">
        <f t="shared" si="33"/>
        <v>10.63334584</v>
      </c>
      <c r="K669" s="4">
        <f t="shared" si="34"/>
        <v>2.311148457</v>
      </c>
      <c r="L669" s="4">
        <f t="shared" si="35"/>
        <v>2.724458204</v>
      </c>
      <c r="M669" s="4">
        <f t="shared" si="36"/>
        <v>-0.151703464</v>
      </c>
      <c r="N669" s="3" t="s">
        <v>95</v>
      </c>
    </row>
    <row r="670" ht="15.75" customHeight="1">
      <c r="A670" s="3" t="s">
        <v>94</v>
      </c>
      <c r="B670" s="10">
        <v>2.05207141E8</v>
      </c>
      <c r="C670" s="9">
        <v>55.743</v>
      </c>
      <c r="D670" s="9">
        <v>401.643</v>
      </c>
      <c r="E670" s="9">
        <v>189.003</v>
      </c>
      <c r="F670" s="5">
        <v>88.0</v>
      </c>
      <c r="G670" s="5">
        <v>32.3</v>
      </c>
      <c r="H670" s="4">
        <f t="shared" si="31"/>
        <v>12.2132939</v>
      </c>
      <c r="I670" s="4">
        <f t="shared" si="32"/>
        <v>9.526297995</v>
      </c>
      <c r="J670" s="4">
        <f t="shared" si="33"/>
        <v>10.86979595</v>
      </c>
      <c r="K670" s="4">
        <f t="shared" si="34"/>
        <v>2.125061507</v>
      </c>
      <c r="L670" s="4">
        <f t="shared" si="35"/>
        <v>2.724458204</v>
      </c>
      <c r="M670" s="4">
        <f t="shared" si="36"/>
        <v>-0.2200058332</v>
      </c>
      <c r="N670" s="3" t="s">
        <v>95</v>
      </c>
    </row>
    <row r="671" ht="15.75" customHeight="1">
      <c r="A671" s="3" t="s">
        <v>94</v>
      </c>
      <c r="B671" s="10">
        <v>4.05906771E8</v>
      </c>
      <c r="C671" s="9">
        <v>101.766</v>
      </c>
      <c r="D671" s="9">
        <v>566.733</v>
      </c>
      <c r="E671" s="9">
        <v>263.549</v>
      </c>
      <c r="F671" s="5">
        <v>88.0</v>
      </c>
      <c r="G671" s="5">
        <v>32.3</v>
      </c>
      <c r="H671" s="4">
        <f t="shared" si="31"/>
        <v>15.80181144</v>
      </c>
      <c r="I671" s="4">
        <f t="shared" si="32"/>
        <v>12.47222262</v>
      </c>
      <c r="J671" s="4">
        <f t="shared" si="33"/>
        <v>14.13701703</v>
      </c>
      <c r="K671" s="4">
        <f t="shared" si="34"/>
        <v>2.150389491</v>
      </c>
      <c r="L671" s="4">
        <f t="shared" si="35"/>
        <v>2.724458204</v>
      </c>
      <c r="M671" s="4">
        <f t="shared" si="36"/>
        <v>-0.2107093118</v>
      </c>
      <c r="N671" s="3" t="s">
        <v>95</v>
      </c>
    </row>
    <row r="672" ht="15.75" customHeight="1">
      <c r="A672" s="3" t="s">
        <v>94</v>
      </c>
      <c r="B672" s="10">
        <v>1.94459371E8</v>
      </c>
      <c r="C672" s="9">
        <v>60.185</v>
      </c>
      <c r="D672" s="9">
        <v>329.097</v>
      </c>
      <c r="E672" s="9">
        <v>157.305</v>
      </c>
      <c r="F672" s="5">
        <v>88.0</v>
      </c>
      <c r="G672" s="5">
        <v>32.3</v>
      </c>
      <c r="H672" s="4">
        <f t="shared" si="31"/>
        <v>16.09337065</v>
      </c>
      <c r="I672" s="4">
        <f t="shared" si="32"/>
        <v>12.35800197</v>
      </c>
      <c r="J672" s="4">
        <f t="shared" si="33"/>
        <v>14.22568631</v>
      </c>
      <c r="K672" s="4">
        <f t="shared" si="34"/>
        <v>2.092094975</v>
      </c>
      <c r="L672" s="4">
        <f t="shared" si="35"/>
        <v>2.724458204</v>
      </c>
      <c r="M672" s="4">
        <f t="shared" si="36"/>
        <v>-0.232106049</v>
      </c>
      <c r="N672" s="3" t="s">
        <v>95</v>
      </c>
    </row>
    <row r="673" ht="15.75" customHeight="1">
      <c r="A673" s="3" t="s">
        <v>94</v>
      </c>
      <c r="B673" s="10">
        <v>6.3962091E8</v>
      </c>
      <c r="C673" s="9">
        <v>47.051</v>
      </c>
      <c r="D673" s="9">
        <v>252.169</v>
      </c>
      <c r="E673" s="9">
        <v>119.069</v>
      </c>
      <c r="F673" s="5">
        <v>88.0</v>
      </c>
      <c r="G673" s="5">
        <v>32.3</v>
      </c>
      <c r="H673" s="4">
        <f t="shared" si="31"/>
        <v>16.41949645</v>
      </c>
      <c r="I673" s="4">
        <f t="shared" si="32"/>
        <v>12.76358498</v>
      </c>
      <c r="J673" s="4">
        <f t="shared" si="33"/>
        <v>14.59154071</v>
      </c>
      <c r="K673" s="4">
        <f t="shared" si="34"/>
        <v>2.117839236</v>
      </c>
      <c r="L673" s="4">
        <f t="shared" si="35"/>
        <v>2.724458204</v>
      </c>
      <c r="M673" s="4">
        <f t="shared" si="36"/>
        <v>-0.2226567349</v>
      </c>
      <c r="N673" s="3" t="s">
        <v>95</v>
      </c>
    </row>
    <row r="674" ht="15.75" customHeight="1">
      <c r="A674" s="3" t="s">
        <v>94</v>
      </c>
      <c r="B674" s="10">
        <v>6.31708095E8</v>
      </c>
      <c r="C674" s="9">
        <v>70.144</v>
      </c>
      <c r="D674" s="9">
        <v>422.839</v>
      </c>
      <c r="E674" s="9">
        <v>222.144</v>
      </c>
      <c r="F674" s="5">
        <v>88.0</v>
      </c>
      <c r="G674" s="5">
        <v>32.3</v>
      </c>
      <c r="H674" s="4">
        <f t="shared" si="31"/>
        <v>14.59816148</v>
      </c>
      <c r="I674" s="4">
        <f t="shared" si="32"/>
        <v>10.19902046</v>
      </c>
      <c r="J674" s="4">
        <f t="shared" si="33"/>
        <v>12.39859097</v>
      </c>
      <c r="K674" s="4">
        <f t="shared" si="34"/>
        <v>1.903445513</v>
      </c>
      <c r="L674" s="4">
        <f t="shared" si="35"/>
        <v>2.724458204</v>
      </c>
      <c r="M674" s="4">
        <f t="shared" si="36"/>
        <v>-0.3013489765</v>
      </c>
      <c r="N674" s="3" t="s">
        <v>95</v>
      </c>
    </row>
    <row r="675" ht="15.75" customHeight="1">
      <c r="A675" s="3" t="s">
        <v>94</v>
      </c>
      <c r="B675" s="8">
        <v>6.30156609E8</v>
      </c>
      <c r="C675" s="9">
        <v>61.741</v>
      </c>
      <c r="D675" s="9">
        <v>372.773</v>
      </c>
      <c r="E675" s="9">
        <v>184.068</v>
      </c>
      <c r="F675" s="5">
        <v>88.0</v>
      </c>
      <c r="G675" s="5">
        <v>32.3</v>
      </c>
      <c r="H675" s="4">
        <f t="shared" si="31"/>
        <v>14.57511139</v>
      </c>
      <c r="I675" s="4">
        <f t="shared" si="32"/>
        <v>10.83422594</v>
      </c>
      <c r="J675" s="4">
        <f t="shared" si="33"/>
        <v>12.70466867</v>
      </c>
      <c r="K675" s="4">
        <f t="shared" si="34"/>
        <v>2.025191777</v>
      </c>
      <c r="L675" s="4">
        <f t="shared" si="35"/>
        <v>2.724458204</v>
      </c>
      <c r="M675" s="4">
        <f t="shared" si="36"/>
        <v>-0.2566625637</v>
      </c>
      <c r="N675" s="3" t="s">
        <v>95</v>
      </c>
    </row>
    <row r="676" ht="15.75" customHeight="1">
      <c r="A676" s="3" t="s">
        <v>94</v>
      </c>
      <c r="B676" s="10">
        <v>6.27681253E8</v>
      </c>
      <c r="C676" s="9">
        <v>66.5</v>
      </c>
      <c r="D676" s="9">
        <v>477.665</v>
      </c>
      <c r="E676" s="9">
        <v>235.281</v>
      </c>
      <c r="F676" s="5">
        <v>88.0</v>
      </c>
      <c r="G676" s="5">
        <v>32.3</v>
      </c>
      <c r="H676" s="4">
        <f t="shared" si="31"/>
        <v>12.25126396</v>
      </c>
      <c r="I676" s="4">
        <f t="shared" si="32"/>
        <v>9.129296458</v>
      </c>
      <c r="J676" s="4">
        <f t="shared" si="33"/>
        <v>10.69028021</v>
      </c>
      <c r="K676" s="4">
        <f t="shared" si="34"/>
        <v>2.030189433</v>
      </c>
      <c r="L676" s="4">
        <f t="shared" si="35"/>
        <v>2.724458204</v>
      </c>
      <c r="M676" s="4">
        <f t="shared" si="36"/>
        <v>-0.2548281967</v>
      </c>
      <c r="N676" s="3" t="s">
        <v>95</v>
      </c>
    </row>
    <row r="677" ht="15.75" customHeight="1">
      <c r="A677" s="3" t="s">
        <v>94</v>
      </c>
      <c r="B677" s="3">
        <v>5.80243151E8</v>
      </c>
      <c r="C677" s="9">
        <v>48.527</v>
      </c>
      <c r="D677" s="9">
        <v>357.716</v>
      </c>
      <c r="E677" s="9">
        <v>162.308</v>
      </c>
      <c r="F677" s="5">
        <v>88.0</v>
      </c>
      <c r="G677" s="5">
        <v>32.3</v>
      </c>
      <c r="H677" s="4">
        <f t="shared" si="31"/>
        <v>11.93789487</v>
      </c>
      <c r="I677" s="4">
        <f t="shared" si="32"/>
        <v>9.657084679</v>
      </c>
      <c r="J677" s="4">
        <f t="shared" si="33"/>
        <v>10.79748977</v>
      </c>
      <c r="K677" s="4">
        <f t="shared" si="34"/>
        <v>2.203933263</v>
      </c>
      <c r="L677" s="4">
        <f t="shared" si="35"/>
        <v>2.724458204</v>
      </c>
      <c r="M677" s="4">
        <f t="shared" si="36"/>
        <v>-0.1910563138</v>
      </c>
      <c r="N677" s="3" t="s">
        <v>95</v>
      </c>
    </row>
    <row r="678" ht="15.75" customHeight="1">
      <c r="A678" s="3" t="s">
        <v>94</v>
      </c>
      <c r="B678" s="8">
        <v>6.17556574E8</v>
      </c>
      <c r="C678" s="9">
        <v>128.888</v>
      </c>
      <c r="D678" s="9">
        <v>936.77</v>
      </c>
      <c r="E678" s="9">
        <v>434.099</v>
      </c>
      <c r="F678" s="5">
        <v>88.0</v>
      </c>
      <c r="G678" s="5">
        <v>32.3</v>
      </c>
      <c r="H678" s="4">
        <f t="shared" si="31"/>
        <v>12.10771481</v>
      </c>
      <c r="I678" s="4">
        <f t="shared" si="32"/>
        <v>9.590168141</v>
      </c>
      <c r="J678" s="4">
        <f t="shared" si="33"/>
        <v>10.84894147</v>
      </c>
      <c r="K678" s="4">
        <f t="shared" si="34"/>
        <v>2.157963967</v>
      </c>
      <c r="L678" s="4">
        <f t="shared" si="35"/>
        <v>2.724458204</v>
      </c>
      <c r="M678" s="4">
        <f t="shared" si="36"/>
        <v>-0.2079291349</v>
      </c>
      <c r="N678" s="3" t="s">
        <v>95</v>
      </c>
    </row>
    <row r="679" ht="15.75" customHeight="1">
      <c r="A679" s="3" t="s">
        <v>94</v>
      </c>
      <c r="B679" s="10">
        <v>6.35871512E8</v>
      </c>
      <c r="C679" s="9">
        <v>40.762</v>
      </c>
      <c r="D679" s="9">
        <v>292.24</v>
      </c>
      <c r="E679" s="9">
        <v>126.143</v>
      </c>
      <c r="F679" s="5">
        <v>88.0</v>
      </c>
      <c r="G679" s="5">
        <v>32.3</v>
      </c>
      <c r="H679" s="4">
        <f t="shared" si="31"/>
        <v>12.27434985</v>
      </c>
      <c r="I679" s="4">
        <f t="shared" si="32"/>
        <v>10.43746066</v>
      </c>
      <c r="J679" s="4">
        <f t="shared" si="33"/>
        <v>11.35590525</v>
      </c>
      <c r="K679" s="4">
        <f t="shared" si="34"/>
        <v>2.316735768</v>
      </c>
      <c r="L679" s="4">
        <f t="shared" si="35"/>
        <v>2.724458204</v>
      </c>
      <c r="M679" s="4">
        <f t="shared" si="36"/>
        <v>-0.1496526669</v>
      </c>
      <c r="N679" s="3" t="s">
        <v>95</v>
      </c>
    </row>
    <row r="680" ht="15.75" customHeight="1">
      <c r="A680" s="3" t="s">
        <v>94</v>
      </c>
      <c r="B680" s="3">
        <v>6.1492852E8</v>
      </c>
      <c r="C680" s="9">
        <v>57.667</v>
      </c>
      <c r="D680" s="9">
        <v>419.129</v>
      </c>
      <c r="E680" s="9">
        <v>179.101</v>
      </c>
      <c r="F680" s="5">
        <v>88.0</v>
      </c>
      <c r="G680" s="5">
        <v>32.3</v>
      </c>
      <c r="H680" s="4">
        <f t="shared" si="31"/>
        <v>12.10771863</v>
      </c>
      <c r="I680" s="4">
        <f t="shared" si="32"/>
        <v>10.39996482</v>
      </c>
      <c r="J680" s="4">
        <f t="shared" si="33"/>
        <v>11.25384173</v>
      </c>
      <c r="K680" s="4">
        <f t="shared" si="34"/>
        <v>2.340182355</v>
      </c>
      <c r="L680" s="4">
        <f t="shared" si="35"/>
        <v>2.724458204</v>
      </c>
      <c r="M680" s="4">
        <f t="shared" si="36"/>
        <v>-0.1410467037</v>
      </c>
      <c r="N680" s="3" t="s">
        <v>95</v>
      </c>
    </row>
    <row r="681" ht="15.75" customHeight="1">
      <c r="A681" s="3" t="s">
        <v>94</v>
      </c>
      <c r="B681" s="3">
        <v>6.09602598E8</v>
      </c>
      <c r="C681" s="9">
        <v>43.549</v>
      </c>
      <c r="D681" s="9">
        <v>292.289</v>
      </c>
      <c r="E681" s="9">
        <v>149.121</v>
      </c>
      <c r="F681" s="5">
        <v>88.0</v>
      </c>
      <c r="G681" s="5">
        <v>32.3</v>
      </c>
      <c r="H681" s="4">
        <f t="shared" si="31"/>
        <v>13.11137949</v>
      </c>
      <c r="I681" s="4">
        <f t="shared" si="32"/>
        <v>9.432827704</v>
      </c>
      <c r="J681" s="4">
        <f t="shared" si="33"/>
        <v>11.2721036</v>
      </c>
      <c r="K681" s="4">
        <f t="shared" si="34"/>
        <v>1.960079399</v>
      </c>
      <c r="L681" s="4">
        <f t="shared" si="35"/>
        <v>2.724458204</v>
      </c>
      <c r="M681" s="4">
        <f t="shared" si="36"/>
        <v>-0.2805617662</v>
      </c>
      <c r="N681" s="3" t="s">
        <v>95</v>
      </c>
    </row>
    <row r="682" ht="15.75" customHeight="1">
      <c r="A682" s="3" t="s">
        <v>94</v>
      </c>
      <c r="B682" s="8">
        <v>6.31401434E8</v>
      </c>
      <c r="C682" s="9">
        <v>52.236</v>
      </c>
      <c r="D682" s="9">
        <v>394.808</v>
      </c>
      <c r="E682" s="9">
        <v>175.046</v>
      </c>
      <c r="F682" s="5">
        <v>88.0</v>
      </c>
      <c r="G682" s="5">
        <v>32.3</v>
      </c>
      <c r="H682" s="4">
        <f t="shared" si="31"/>
        <v>11.64304675</v>
      </c>
      <c r="I682" s="4">
        <f t="shared" si="32"/>
        <v>9.638739531</v>
      </c>
      <c r="J682" s="4">
        <f t="shared" si="33"/>
        <v>10.64089314</v>
      </c>
      <c r="K682" s="4">
        <f t="shared" si="34"/>
        <v>2.255452852</v>
      </c>
      <c r="L682" s="4">
        <f t="shared" si="35"/>
        <v>2.724458204</v>
      </c>
      <c r="M682" s="4">
        <f t="shared" si="36"/>
        <v>-0.1721462826</v>
      </c>
      <c r="N682" s="3" t="s">
        <v>95</v>
      </c>
    </row>
    <row r="683" ht="15.75" customHeight="1">
      <c r="A683" s="3" t="s">
        <v>94</v>
      </c>
      <c r="B683" s="8">
        <v>6.25948124E8</v>
      </c>
      <c r="C683" s="9">
        <v>66.832</v>
      </c>
      <c r="D683" s="9">
        <v>552.327</v>
      </c>
      <c r="E683" s="9">
        <v>268.002</v>
      </c>
      <c r="F683" s="5">
        <v>88.0</v>
      </c>
      <c r="G683" s="5">
        <v>32.3</v>
      </c>
      <c r="H683" s="4">
        <f t="shared" si="31"/>
        <v>10.64806899</v>
      </c>
      <c r="I683" s="4">
        <f t="shared" si="32"/>
        <v>8.054692129</v>
      </c>
      <c r="J683" s="4">
        <f t="shared" si="33"/>
        <v>9.351380559</v>
      </c>
      <c r="K683" s="4">
        <f t="shared" si="34"/>
        <v>2.060906262</v>
      </c>
      <c r="L683" s="4">
        <f t="shared" si="35"/>
        <v>2.724458204</v>
      </c>
      <c r="M683" s="4">
        <f t="shared" si="36"/>
        <v>-0.2435537243</v>
      </c>
      <c r="N683" s="3" t="s">
        <v>95</v>
      </c>
    </row>
    <row r="684" ht="15.75" customHeight="1">
      <c r="A684" s="3" t="s">
        <v>94</v>
      </c>
      <c r="B684" s="8">
        <v>6.23505377E8</v>
      </c>
      <c r="C684" s="9">
        <v>69.065</v>
      </c>
      <c r="D684" s="9">
        <v>436.424</v>
      </c>
      <c r="E684" s="9">
        <v>200.16</v>
      </c>
      <c r="F684" s="5">
        <v>88.0</v>
      </c>
      <c r="G684" s="5">
        <v>32.3</v>
      </c>
      <c r="H684" s="4">
        <f t="shared" si="31"/>
        <v>13.92618188</v>
      </c>
      <c r="I684" s="4">
        <f t="shared" si="32"/>
        <v>11.14508143</v>
      </c>
      <c r="J684" s="4">
        <f t="shared" si="33"/>
        <v>12.53563166</v>
      </c>
      <c r="K684" s="4">
        <f t="shared" si="34"/>
        <v>2.180375699</v>
      </c>
      <c r="L684" s="4">
        <f t="shared" si="35"/>
        <v>2.724458204</v>
      </c>
      <c r="M684" s="4">
        <f t="shared" si="36"/>
        <v>-0.1997030103</v>
      </c>
      <c r="N684" s="3" t="s">
        <v>95</v>
      </c>
    </row>
    <row r="685" ht="15.75" customHeight="1">
      <c r="A685" s="3" t="s">
        <v>94</v>
      </c>
      <c r="B685" s="8">
        <v>7.7470411E7</v>
      </c>
      <c r="C685" s="9">
        <v>75.027</v>
      </c>
      <c r="D685" s="9">
        <v>474.958</v>
      </c>
      <c r="E685" s="9">
        <v>242.074</v>
      </c>
      <c r="F685" s="5">
        <v>88.0</v>
      </c>
      <c r="G685" s="5">
        <v>32.3</v>
      </c>
      <c r="H685" s="4">
        <f t="shared" si="31"/>
        <v>13.90096809</v>
      </c>
      <c r="I685" s="4">
        <f t="shared" si="32"/>
        <v>10.01087312</v>
      </c>
      <c r="J685" s="4">
        <f t="shared" si="33"/>
        <v>11.9559206</v>
      </c>
      <c r="K685" s="4">
        <f t="shared" si="34"/>
        <v>1.962036402</v>
      </c>
      <c r="L685" s="4">
        <f t="shared" si="35"/>
        <v>2.724458204</v>
      </c>
      <c r="M685" s="4">
        <f t="shared" si="36"/>
        <v>-0.279843457</v>
      </c>
      <c r="N685" s="3" t="s">
        <v>95</v>
      </c>
    </row>
    <row r="686" ht="15.75" customHeight="1">
      <c r="A686" s="3" t="s">
        <v>94</v>
      </c>
      <c r="B686" s="8">
        <v>6.3316959E8</v>
      </c>
      <c r="C686" s="9">
        <v>55.02</v>
      </c>
      <c r="D686" s="9">
        <v>394.118</v>
      </c>
      <c r="E686" s="9">
        <v>171.231</v>
      </c>
      <c r="F686" s="5">
        <v>88.0</v>
      </c>
      <c r="G686" s="5">
        <v>32.3</v>
      </c>
      <c r="H686" s="4">
        <f t="shared" si="31"/>
        <v>12.28505169</v>
      </c>
      <c r="I686" s="4">
        <f t="shared" si="32"/>
        <v>10.37864639</v>
      </c>
      <c r="J686" s="4">
        <f t="shared" si="33"/>
        <v>11.33184904</v>
      </c>
      <c r="K686" s="4">
        <f t="shared" si="34"/>
        <v>2.301674346</v>
      </c>
      <c r="L686" s="4">
        <f t="shared" si="35"/>
        <v>2.724458204</v>
      </c>
      <c r="M686" s="4">
        <f t="shared" si="36"/>
        <v>-0.1551808933</v>
      </c>
      <c r="N686" s="3" t="s">
        <v>95</v>
      </c>
    </row>
    <row r="687" ht="15.75" customHeight="1">
      <c r="A687" s="3" t="s">
        <v>96</v>
      </c>
      <c r="B687" s="3">
        <v>3.40744081E8</v>
      </c>
      <c r="C687" s="9">
        <v>30.899</v>
      </c>
      <c r="D687" s="9">
        <v>76.76</v>
      </c>
      <c r="E687" s="9">
        <v>111.806</v>
      </c>
      <c r="F687" s="5">
        <v>17.6</v>
      </c>
      <c r="G687" s="5">
        <v>17.1</v>
      </c>
      <c r="H687" s="4">
        <f t="shared" si="31"/>
        <v>7.084710787</v>
      </c>
      <c r="I687" s="4">
        <f t="shared" si="32"/>
        <v>4.725800941</v>
      </c>
      <c r="J687" s="4">
        <f t="shared" si="33"/>
        <v>5.905255864</v>
      </c>
      <c r="K687" s="4">
        <f t="shared" si="34"/>
        <v>0.6865463392</v>
      </c>
      <c r="L687" s="4">
        <f t="shared" si="35"/>
        <v>1.029239766</v>
      </c>
      <c r="M687" s="4">
        <f t="shared" si="36"/>
        <v>-0.3329578182</v>
      </c>
      <c r="N687" s="3" t="s">
        <v>97</v>
      </c>
    </row>
    <row r="688" ht="15.75" customHeight="1">
      <c r="A688" s="3" t="s">
        <v>96</v>
      </c>
      <c r="B688" s="3">
        <v>5.0953961E7</v>
      </c>
      <c r="C688" s="9">
        <v>25.874</v>
      </c>
      <c r="D688" s="9">
        <v>67.894</v>
      </c>
      <c r="E688" s="9">
        <v>101.577</v>
      </c>
      <c r="F688" s="5">
        <v>17.6</v>
      </c>
      <c r="G688" s="5">
        <v>17.1</v>
      </c>
      <c r="H688" s="4">
        <f t="shared" si="31"/>
        <v>6.707255428</v>
      </c>
      <c r="I688" s="4">
        <f t="shared" si="32"/>
        <v>4.355763608</v>
      </c>
      <c r="J688" s="4">
        <f t="shared" si="33"/>
        <v>5.531509518</v>
      </c>
      <c r="K688" s="4">
        <f t="shared" si="34"/>
        <v>0.6683993424</v>
      </c>
      <c r="L688" s="4">
        <f t="shared" si="35"/>
        <v>1.029239766</v>
      </c>
      <c r="M688" s="4">
        <f t="shared" si="36"/>
        <v>-0.3505892753</v>
      </c>
      <c r="N688" s="3" t="s">
        <v>97</v>
      </c>
    </row>
    <row r="689" ht="15.75" customHeight="1">
      <c r="A689" s="3" t="s">
        <v>96</v>
      </c>
      <c r="B689" s="3">
        <v>6.15634567E8</v>
      </c>
      <c r="F689" s="5">
        <v>17.6</v>
      </c>
      <c r="G689" s="5">
        <v>17.1</v>
      </c>
      <c r="N689" s="3" t="s">
        <v>97</v>
      </c>
    </row>
    <row r="690" ht="15.75" customHeight="1">
      <c r="A690" s="3" t="s">
        <v>96</v>
      </c>
      <c r="B690" s="3">
        <v>6.4183748E8</v>
      </c>
      <c r="F690" s="5">
        <v>17.6</v>
      </c>
      <c r="G690" s="5">
        <v>17.1</v>
      </c>
      <c r="N690" s="3" t="s">
        <v>97</v>
      </c>
    </row>
    <row r="691" ht="15.75" customHeight="1">
      <c r="A691" s="3" t="s">
        <v>96</v>
      </c>
      <c r="B691" s="3">
        <v>8.0760681E7</v>
      </c>
      <c r="F691" s="5">
        <v>17.6</v>
      </c>
      <c r="G691" s="5">
        <v>17.1</v>
      </c>
      <c r="N691" s="3" t="s">
        <v>97</v>
      </c>
    </row>
    <row r="692" ht="15.75" customHeight="1">
      <c r="A692" s="3" t="s">
        <v>96</v>
      </c>
      <c r="B692" s="3">
        <v>4.81765721E8</v>
      </c>
      <c r="F692" s="5">
        <v>17.6</v>
      </c>
      <c r="G692" s="5">
        <v>17.1</v>
      </c>
      <c r="N692" s="3" t="s">
        <v>97</v>
      </c>
    </row>
    <row r="693" ht="15.75" customHeight="1">
      <c r="A693" s="3" t="s">
        <v>96</v>
      </c>
      <c r="B693" s="3">
        <v>3.47126021E8</v>
      </c>
      <c r="F693" s="5">
        <v>17.6</v>
      </c>
      <c r="G693" s="5">
        <v>17.1</v>
      </c>
      <c r="N693" s="3" t="s">
        <v>97</v>
      </c>
    </row>
    <row r="694" ht="15.75" customHeight="1">
      <c r="A694" s="3" t="s">
        <v>96</v>
      </c>
      <c r="B694" s="3">
        <v>4.28789001E8</v>
      </c>
      <c r="F694" s="5">
        <v>17.6</v>
      </c>
      <c r="G694" s="5">
        <v>17.1</v>
      </c>
      <c r="N694" s="3" t="s">
        <v>97</v>
      </c>
    </row>
    <row r="695" ht="15.75" customHeight="1">
      <c r="A695" s="3" t="s">
        <v>96</v>
      </c>
      <c r="B695" s="3">
        <v>6.2050242E8</v>
      </c>
      <c r="F695" s="5">
        <v>17.6</v>
      </c>
      <c r="G695" s="5">
        <v>17.1</v>
      </c>
      <c r="N695" s="3" t="s">
        <v>97</v>
      </c>
    </row>
    <row r="696" ht="15.75" customHeight="1">
      <c r="A696" s="3" t="s">
        <v>96</v>
      </c>
      <c r="B696" s="3">
        <v>3.70686021E8</v>
      </c>
      <c r="F696" s="5">
        <v>17.6</v>
      </c>
      <c r="G696" s="5">
        <v>17.1</v>
      </c>
      <c r="N696" s="3" t="s">
        <v>97</v>
      </c>
    </row>
    <row r="697" ht="15.75" customHeight="1">
      <c r="A697" s="3" t="s">
        <v>96</v>
      </c>
      <c r="B697" s="3">
        <v>6.27849516E8</v>
      </c>
      <c r="F697" s="5">
        <v>17.6</v>
      </c>
      <c r="G697" s="5">
        <v>17.1</v>
      </c>
      <c r="N697" s="3" t="s">
        <v>97</v>
      </c>
    </row>
    <row r="698" ht="15.75" customHeight="1">
      <c r="A698" s="3" t="s">
        <v>96</v>
      </c>
      <c r="B698" s="3">
        <v>6.25535472E8</v>
      </c>
      <c r="F698" s="5">
        <v>17.6</v>
      </c>
      <c r="G698" s="5">
        <v>17.1</v>
      </c>
      <c r="N698" s="3" t="s">
        <v>97</v>
      </c>
    </row>
    <row r="699" ht="15.75" customHeight="1">
      <c r="A699" s="3" t="s">
        <v>96</v>
      </c>
      <c r="B699" s="3">
        <v>4.47804251E8</v>
      </c>
      <c r="F699" s="5">
        <v>17.6</v>
      </c>
      <c r="G699" s="5">
        <v>17.1</v>
      </c>
      <c r="N699" s="3" t="s">
        <v>97</v>
      </c>
    </row>
    <row r="700" ht="15.75" customHeight="1">
      <c r="A700" s="3" t="s">
        <v>96</v>
      </c>
      <c r="B700" s="3">
        <v>6.1687771E8</v>
      </c>
      <c r="F700" s="5">
        <v>17.6</v>
      </c>
      <c r="G700" s="5">
        <v>17.1</v>
      </c>
      <c r="N700" s="3" t="s">
        <v>97</v>
      </c>
    </row>
    <row r="701" ht="15.75" customHeight="1">
      <c r="A701" s="3" t="s">
        <v>96</v>
      </c>
      <c r="B701" s="3">
        <v>4.40667141E8</v>
      </c>
      <c r="F701" s="5">
        <v>17.6</v>
      </c>
      <c r="G701" s="5">
        <v>17.1</v>
      </c>
      <c r="N701" s="3" t="s">
        <v>97</v>
      </c>
    </row>
    <row r="702" ht="15.75" customHeight="1">
      <c r="A702" s="2" t="s">
        <v>98</v>
      </c>
      <c r="B702" s="3">
        <v>6.0473831E7</v>
      </c>
      <c r="C702" s="4">
        <v>34.883</v>
      </c>
      <c r="D702" s="4">
        <v>69.25</v>
      </c>
      <c r="E702" s="4">
        <v>43.125</v>
      </c>
      <c r="F702" s="5">
        <v>8.3</v>
      </c>
      <c r="G702" s="5">
        <v>4.5</v>
      </c>
      <c r="H702" s="4">
        <f t="shared" ref="H702:H744" si="37">(C702/D702)*F702</f>
        <v>4.180922744</v>
      </c>
      <c r="I702" s="4">
        <f t="shared" ref="I702:I744" si="38">(C702/E702)*G702</f>
        <v>3.639965217</v>
      </c>
      <c r="J702" s="4">
        <f t="shared" ref="J702:J744" si="39">AVERAGE(H702:I702)</f>
        <v>3.910443981</v>
      </c>
      <c r="K702" s="4">
        <f t="shared" ref="K702:K744" si="40">D702/E702</f>
        <v>1.605797101</v>
      </c>
      <c r="L702" s="4">
        <f t="shared" ref="L702:L744" si="41">F702/G702</f>
        <v>1.844444444</v>
      </c>
      <c r="M702" s="4">
        <f t="shared" ref="M702:M744" si="42">(K702-L702)/L702</f>
        <v>-0.1293871137</v>
      </c>
      <c r="N702" s="3" t="s">
        <v>99</v>
      </c>
    </row>
    <row r="703" ht="15.75" customHeight="1">
      <c r="A703" s="2" t="s">
        <v>98</v>
      </c>
      <c r="B703" s="3">
        <v>2.04701871E8</v>
      </c>
      <c r="C703" s="4">
        <v>35.725</v>
      </c>
      <c r="D703" s="4">
        <v>88.498</v>
      </c>
      <c r="E703" s="4">
        <v>56.684</v>
      </c>
      <c r="F703" s="5">
        <v>8.3</v>
      </c>
      <c r="G703" s="5">
        <v>4.5</v>
      </c>
      <c r="H703" s="4">
        <f t="shared" si="37"/>
        <v>3.350555945</v>
      </c>
      <c r="I703" s="4">
        <f t="shared" si="38"/>
        <v>2.836117776</v>
      </c>
      <c r="J703" s="4">
        <f t="shared" si="39"/>
        <v>3.09333686</v>
      </c>
      <c r="K703" s="4">
        <f t="shared" si="40"/>
        <v>1.561251852</v>
      </c>
      <c r="L703" s="4">
        <f t="shared" si="41"/>
        <v>1.844444444</v>
      </c>
      <c r="M703" s="4">
        <f t="shared" si="42"/>
        <v>-0.1535381523</v>
      </c>
      <c r="N703" s="3" t="s">
        <v>99</v>
      </c>
    </row>
    <row r="704" ht="15.75" customHeight="1">
      <c r="A704" s="2" t="s">
        <v>98</v>
      </c>
      <c r="B704" s="3">
        <v>5.43853821E8</v>
      </c>
      <c r="C704" s="4">
        <v>40.411</v>
      </c>
      <c r="D704" s="4">
        <v>90.05</v>
      </c>
      <c r="E704" s="4">
        <v>57.255</v>
      </c>
      <c r="F704" s="5">
        <v>8.3</v>
      </c>
      <c r="G704" s="5">
        <v>4.5</v>
      </c>
      <c r="H704" s="4">
        <f t="shared" si="37"/>
        <v>3.724722932</v>
      </c>
      <c r="I704" s="4">
        <f t="shared" si="38"/>
        <v>3.176133089</v>
      </c>
      <c r="J704" s="4">
        <f t="shared" si="39"/>
        <v>3.45042801</v>
      </c>
      <c r="K704" s="4">
        <f t="shared" si="40"/>
        <v>1.572788403</v>
      </c>
      <c r="L704" s="4">
        <f t="shared" si="41"/>
        <v>1.844444444</v>
      </c>
      <c r="M704" s="4">
        <f t="shared" si="42"/>
        <v>-0.1472833961</v>
      </c>
      <c r="N704" s="3" t="s">
        <v>99</v>
      </c>
    </row>
    <row r="705" ht="15.75" customHeight="1">
      <c r="A705" s="2" t="s">
        <v>98</v>
      </c>
      <c r="B705" s="3">
        <v>1.08666181E8</v>
      </c>
      <c r="C705" s="4">
        <v>43.147</v>
      </c>
      <c r="D705" s="4">
        <v>97.88</v>
      </c>
      <c r="E705" s="4">
        <v>60.082</v>
      </c>
      <c r="F705" s="5">
        <v>8.3</v>
      </c>
      <c r="G705" s="5">
        <v>4.5</v>
      </c>
      <c r="H705" s="4">
        <f t="shared" si="37"/>
        <v>3.658766857</v>
      </c>
      <c r="I705" s="4">
        <f t="shared" si="38"/>
        <v>3.231608468</v>
      </c>
      <c r="J705" s="4">
        <f t="shared" si="39"/>
        <v>3.445187663</v>
      </c>
      <c r="K705" s="4">
        <f t="shared" si="40"/>
        <v>1.629106887</v>
      </c>
      <c r="L705" s="4">
        <f t="shared" si="41"/>
        <v>1.844444444</v>
      </c>
      <c r="M705" s="4">
        <f t="shared" si="42"/>
        <v>-0.116749278</v>
      </c>
      <c r="N705" s="3" t="s">
        <v>99</v>
      </c>
    </row>
    <row r="706" ht="15.75" customHeight="1">
      <c r="A706" s="3" t="s">
        <v>98</v>
      </c>
      <c r="B706" s="3">
        <v>2.04680161E8</v>
      </c>
      <c r="C706" s="4">
        <v>38.798</v>
      </c>
      <c r="D706" s="4">
        <v>101.34</v>
      </c>
      <c r="E706" s="4">
        <v>57.342</v>
      </c>
      <c r="F706" s="5">
        <v>8.3</v>
      </c>
      <c r="G706" s="5">
        <v>4.5</v>
      </c>
      <c r="H706" s="4">
        <f t="shared" si="37"/>
        <v>3.177653444</v>
      </c>
      <c r="I706" s="4">
        <f t="shared" si="38"/>
        <v>3.04473161</v>
      </c>
      <c r="J706" s="4">
        <f t="shared" si="39"/>
        <v>3.111192527</v>
      </c>
      <c r="K706" s="4">
        <f t="shared" si="40"/>
        <v>1.767290991</v>
      </c>
      <c r="L706" s="4">
        <f t="shared" si="41"/>
        <v>1.844444444</v>
      </c>
      <c r="M706" s="4">
        <f t="shared" si="42"/>
        <v>-0.04183018566</v>
      </c>
      <c r="N706" s="3" t="s">
        <v>99</v>
      </c>
    </row>
    <row r="707" ht="15.75" customHeight="1">
      <c r="A707" s="2" t="s">
        <v>98</v>
      </c>
      <c r="B707" s="3">
        <v>6.29702562E8</v>
      </c>
      <c r="C707" s="4">
        <v>60.719</v>
      </c>
      <c r="D707" s="4">
        <v>124.057</v>
      </c>
      <c r="E707" s="4">
        <v>79.539</v>
      </c>
      <c r="F707" s="5">
        <v>8.3</v>
      </c>
      <c r="G707" s="5">
        <v>4.5</v>
      </c>
      <c r="H707" s="4">
        <f t="shared" si="37"/>
        <v>4.062388257</v>
      </c>
      <c r="I707" s="4">
        <f t="shared" si="38"/>
        <v>3.435239317</v>
      </c>
      <c r="J707" s="4">
        <f t="shared" si="39"/>
        <v>3.748813787</v>
      </c>
      <c r="K707" s="4">
        <f t="shared" si="40"/>
        <v>1.559700273</v>
      </c>
      <c r="L707" s="4">
        <f t="shared" si="41"/>
        <v>1.844444444</v>
      </c>
      <c r="M707" s="4">
        <f t="shared" si="42"/>
        <v>-0.1543793702</v>
      </c>
      <c r="N707" s="3" t="s">
        <v>99</v>
      </c>
    </row>
    <row r="708" ht="15.75" customHeight="1">
      <c r="A708" s="6" t="s">
        <v>98</v>
      </c>
      <c r="B708" s="3">
        <v>2.05977771E8</v>
      </c>
      <c r="C708" s="4">
        <v>33.404</v>
      </c>
      <c r="D708" s="4">
        <v>95.796</v>
      </c>
      <c r="E708" s="4">
        <v>62.761</v>
      </c>
      <c r="F708" s="5">
        <v>8.3</v>
      </c>
      <c r="G708" s="5">
        <v>4.5</v>
      </c>
      <c r="H708" s="4">
        <f t="shared" si="37"/>
        <v>2.894204351</v>
      </c>
      <c r="I708" s="4">
        <f t="shared" si="38"/>
        <v>2.39508612</v>
      </c>
      <c r="J708" s="4">
        <f t="shared" si="39"/>
        <v>2.644645236</v>
      </c>
      <c r="K708" s="4">
        <f t="shared" si="40"/>
        <v>1.526361913</v>
      </c>
      <c r="L708" s="4">
        <f t="shared" si="41"/>
        <v>1.844444444</v>
      </c>
      <c r="M708" s="4">
        <f t="shared" si="42"/>
        <v>-0.1724543847</v>
      </c>
      <c r="N708" s="3" t="s">
        <v>99</v>
      </c>
    </row>
    <row r="709" ht="15.75" customHeight="1">
      <c r="A709" s="3" t="s">
        <v>98</v>
      </c>
      <c r="B709" s="3">
        <v>6.37583292E8</v>
      </c>
      <c r="C709" s="4">
        <v>32.249</v>
      </c>
      <c r="D709" s="4">
        <v>82.263</v>
      </c>
      <c r="E709" s="4">
        <v>48.859</v>
      </c>
      <c r="F709" s="5">
        <v>8.3</v>
      </c>
      <c r="G709" s="5">
        <v>4.5</v>
      </c>
      <c r="H709" s="4">
        <f t="shared" si="37"/>
        <v>3.253792106</v>
      </c>
      <c r="I709" s="4">
        <f t="shared" si="38"/>
        <v>2.97018973</v>
      </c>
      <c r="J709" s="4">
        <f t="shared" si="39"/>
        <v>3.111990918</v>
      </c>
      <c r="K709" s="4">
        <f t="shared" si="40"/>
        <v>1.683681614</v>
      </c>
      <c r="L709" s="4">
        <f t="shared" si="41"/>
        <v>1.844444444</v>
      </c>
      <c r="M709" s="4">
        <f t="shared" si="42"/>
        <v>-0.08716057048</v>
      </c>
      <c r="N709" s="3" t="s">
        <v>99</v>
      </c>
    </row>
    <row r="710" ht="15.75" customHeight="1">
      <c r="A710" s="2" t="s">
        <v>98</v>
      </c>
      <c r="B710" s="3">
        <v>6.40452752E8</v>
      </c>
      <c r="C710" s="4">
        <v>40.64</v>
      </c>
      <c r="D710" s="4">
        <v>102.294</v>
      </c>
      <c r="E710" s="4">
        <v>64.251</v>
      </c>
      <c r="F710" s="5">
        <v>8.3</v>
      </c>
      <c r="G710" s="5">
        <v>4.5</v>
      </c>
      <c r="H710" s="4">
        <f t="shared" si="37"/>
        <v>3.297475903</v>
      </c>
      <c r="I710" s="4">
        <f t="shared" si="38"/>
        <v>2.846337022</v>
      </c>
      <c r="J710" s="4">
        <f t="shared" si="39"/>
        <v>3.071906462</v>
      </c>
      <c r="K710" s="4">
        <f t="shared" si="40"/>
        <v>1.592099734</v>
      </c>
      <c r="L710" s="4">
        <f t="shared" si="41"/>
        <v>1.844444444</v>
      </c>
      <c r="M710" s="4">
        <f t="shared" si="42"/>
        <v>-0.1368133973</v>
      </c>
      <c r="N710" s="3" t="s">
        <v>99</v>
      </c>
    </row>
    <row r="711" ht="15.75" customHeight="1">
      <c r="A711" s="3" t="s">
        <v>98</v>
      </c>
      <c r="B711" s="3">
        <v>6.1912624E8</v>
      </c>
      <c r="C711" s="4">
        <v>34.514</v>
      </c>
      <c r="D711" s="4">
        <v>86.768</v>
      </c>
      <c r="E711" s="4">
        <v>49.244</v>
      </c>
      <c r="F711" s="5">
        <v>8.3</v>
      </c>
      <c r="G711" s="5">
        <v>4.5</v>
      </c>
      <c r="H711" s="4">
        <f t="shared" si="37"/>
        <v>3.301518993</v>
      </c>
      <c r="I711" s="4">
        <f t="shared" si="38"/>
        <v>3.153947689</v>
      </c>
      <c r="J711" s="4">
        <f t="shared" si="39"/>
        <v>3.227733341</v>
      </c>
      <c r="K711" s="4">
        <f t="shared" si="40"/>
        <v>1.762001462</v>
      </c>
      <c r="L711" s="4">
        <f t="shared" si="41"/>
        <v>1.844444444</v>
      </c>
      <c r="M711" s="4">
        <f t="shared" si="42"/>
        <v>-0.04469800247</v>
      </c>
      <c r="N711" s="3" t="s">
        <v>99</v>
      </c>
    </row>
    <row r="712" ht="15.75" customHeight="1">
      <c r="A712" s="2" t="s">
        <v>98</v>
      </c>
      <c r="B712" s="3">
        <v>5.49014841E8</v>
      </c>
      <c r="C712" s="4">
        <v>38.54</v>
      </c>
      <c r="D712" s="4">
        <v>98.559</v>
      </c>
      <c r="E712" s="4">
        <v>60.271</v>
      </c>
      <c r="F712" s="5">
        <v>8.3</v>
      </c>
      <c r="G712" s="5">
        <v>4.5</v>
      </c>
      <c r="H712" s="4">
        <f t="shared" si="37"/>
        <v>3.245588937</v>
      </c>
      <c r="I712" s="4">
        <f t="shared" si="38"/>
        <v>2.877503277</v>
      </c>
      <c r="J712" s="4">
        <f t="shared" si="39"/>
        <v>3.061546107</v>
      </c>
      <c r="K712" s="4">
        <f t="shared" si="40"/>
        <v>1.635264057</v>
      </c>
      <c r="L712" s="4">
        <f t="shared" si="41"/>
        <v>1.844444444</v>
      </c>
      <c r="M712" s="4">
        <f t="shared" si="42"/>
        <v>-0.1134110532</v>
      </c>
      <c r="N712" s="3" t="s">
        <v>99</v>
      </c>
    </row>
    <row r="713" ht="15.75" customHeight="1">
      <c r="A713" s="2" t="s">
        <v>98</v>
      </c>
      <c r="B713" s="3">
        <v>3.14836581E8</v>
      </c>
      <c r="C713" s="4">
        <v>38.316</v>
      </c>
      <c r="D713" s="4">
        <v>84.924</v>
      </c>
      <c r="E713" s="4">
        <v>54.476</v>
      </c>
      <c r="F713" s="5">
        <v>8.3</v>
      </c>
      <c r="G713" s="5">
        <v>4.5</v>
      </c>
      <c r="H713" s="4">
        <f t="shared" si="37"/>
        <v>3.744792991</v>
      </c>
      <c r="I713" s="4">
        <f t="shared" si="38"/>
        <v>3.165100228</v>
      </c>
      <c r="J713" s="4">
        <f t="shared" si="39"/>
        <v>3.45494661</v>
      </c>
      <c r="K713" s="4">
        <f t="shared" si="40"/>
        <v>1.558925031</v>
      </c>
      <c r="L713" s="4">
        <f t="shared" si="41"/>
        <v>1.844444444</v>
      </c>
      <c r="M713" s="4">
        <f t="shared" si="42"/>
        <v>-0.1547996819</v>
      </c>
      <c r="N713" s="3" t="s">
        <v>99</v>
      </c>
    </row>
    <row r="714" ht="15.75" customHeight="1">
      <c r="A714" s="3" t="s">
        <v>98</v>
      </c>
      <c r="B714" s="3">
        <v>5.29313241E8</v>
      </c>
      <c r="C714" s="4">
        <v>43.001</v>
      </c>
      <c r="D714" s="4">
        <v>102.576</v>
      </c>
      <c r="E714" s="4">
        <v>56.996</v>
      </c>
      <c r="F714" s="5">
        <v>8.3</v>
      </c>
      <c r="G714" s="5">
        <v>4.5</v>
      </c>
      <c r="H714" s="4">
        <f t="shared" si="37"/>
        <v>3.479452309</v>
      </c>
      <c r="I714" s="4">
        <f t="shared" si="38"/>
        <v>3.395054039</v>
      </c>
      <c r="J714" s="4">
        <f t="shared" si="39"/>
        <v>3.437253174</v>
      </c>
      <c r="K714" s="4">
        <f t="shared" si="40"/>
        <v>1.799705242</v>
      </c>
      <c r="L714" s="4">
        <f t="shared" si="41"/>
        <v>1.844444444</v>
      </c>
      <c r="M714" s="4">
        <f t="shared" si="42"/>
        <v>-0.02425619384</v>
      </c>
      <c r="N714" s="3" t="s">
        <v>99</v>
      </c>
    </row>
    <row r="715" ht="15.75" customHeight="1">
      <c r="A715" s="3" t="s">
        <v>98</v>
      </c>
      <c r="B715" s="3">
        <v>5.10949721E8</v>
      </c>
      <c r="C715" s="4">
        <v>41.277</v>
      </c>
      <c r="D715" s="4">
        <v>93.016</v>
      </c>
      <c r="E715" s="4">
        <v>53.252</v>
      </c>
      <c r="F715" s="5">
        <v>8.3</v>
      </c>
      <c r="G715" s="5">
        <v>4.5</v>
      </c>
      <c r="H715" s="4">
        <f t="shared" si="37"/>
        <v>3.683227617</v>
      </c>
      <c r="I715" s="4">
        <f t="shared" si="38"/>
        <v>3.488066176</v>
      </c>
      <c r="J715" s="4">
        <f t="shared" si="39"/>
        <v>3.585646896</v>
      </c>
      <c r="K715" s="4">
        <f t="shared" si="40"/>
        <v>1.746713738</v>
      </c>
      <c r="L715" s="4">
        <f t="shared" si="41"/>
        <v>1.844444444</v>
      </c>
      <c r="M715" s="4">
        <f t="shared" si="42"/>
        <v>-0.05298652735</v>
      </c>
      <c r="N715" s="3" t="s">
        <v>99</v>
      </c>
    </row>
    <row r="716" ht="15.75" customHeight="1">
      <c r="A716" s="6" t="s">
        <v>98</v>
      </c>
      <c r="B716" s="3">
        <v>6.4474353E8</v>
      </c>
      <c r="C716" s="4">
        <v>35.009</v>
      </c>
      <c r="D716" s="4">
        <v>90.529</v>
      </c>
      <c r="E716" s="4">
        <v>59.7</v>
      </c>
      <c r="F716" s="5">
        <v>8.3</v>
      </c>
      <c r="G716" s="5">
        <v>4.5</v>
      </c>
      <c r="H716" s="4">
        <f t="shared" si="37"/>
        <v>3.20974163</v>
      </c>
      <c r="I716" s="4">
        <f t="shared" si="38"/>
        <v>2.638869347</v>
      </c>
      <c r="J716" s="4">
        <f t="shared" si="39"/>
        <v>2.924305488</v>
      </c>
      <c r="K716" s="4">
        <f t="shared" si="40"/>
        <v>1.51639866</v>
      </c>
      <c r="L716" s="4">
        <f t="shared" si="41"/>
        <v>1.844444444</v>
      </c>
      <c r="M716" s="4">
        <f t="shared" si="42"/>
        <v>-0.1778561482</v>
      </c>
      <c r="N716" s="3" t="s">
        <v>99</v>
      </c>
    </row>
    <row r="717" ht="15.75" customHeight="1">
      <c r="A717" s="6" t="s">
        <v>98</v>
      </c>
      <c r="B717" s="3">
        <v>6.4463749E8</v>
      </c>
      <c r="C717" s="4">
        <v>27.831</v>
      </c>
      <c r="D717" s="4">
        <v>80.616</v>
      </c>
      <c r="E717" s="4">
        <v>52.308</v>
      </c>
      <c r="F717" s="5">
        <v>8.3</v>
      </c>
      <c r="G717" s="5">
        <v>4.5</v>
      </c>
      <c r="H717" s="4">
        <f t="shared" si="37"/>
        <v>2.86540265</v>
      </c>
      <c r="I717" s="4">
        <f t="shared" si="38"/>
        <v>2.394270475</v>
      </c>
      <c r="J717" s="4">
        <f t="shared" si="39"/>
        <v>2.629836562</v>
      </c>
      <c r="K717" s="4">
        <f t="shared" si="40"/>
        <v>1.54117917</v>
      </c>
      <c r="L717" s="4">
        <f t="shared" si="41"/>
        <v>1.844444444</v>
      </c>
      <c r="M717" s="4">
        <f t="shared" si="42"/>
        <v>-0.1644209322</v>
      </c>
      <c r="N717" s="3" t="s">
        <v>99</v>
      </c>
    </row>
    <row r="718" ht="15.75" customHeight="1">
      <c r="A718" s="19" t="s">
        <v>98</v>
      </c>
      <c r="B718" s="10">
        <v>6.48648724E8</v>
      </c>
      <c r="C718" s="9">
        <v>63.423</v>
      </c>
      <c r="D718" s="9">
        <v>142.061</v>
      </c>
      <c r="E718" s="9">
        <v>71.976</v>
      </c>
      <c r="F718" s="5">
        <v>8.3</v>
      </c>
      <c r="G718" s="5">
        <v>4.5</v>
      </c>
      <c r="H718" s="4">
        <f t="shared" si="37"/>
        <v>3.705527203</v>
      </c>
      <c r="I718" s="4">
        <f t="shared" si="38"/>
        <v>3.965259253</v>
      </c>
      <c r="J718" s="4">
        <f t="shared" si="39"/>
        <v>3.835393228</v>
      </c>
      <c r="K718" s="4">
        <f t="shared" si="40"/>
        <v>1.973727354</v>
      </c>
      <c r="L718" s="4">
        <f t="shared" si="41"/>
        <v>1.844444444</v>
      </c>
      <c r="M718" s="4">
        <f t="shared" si="42"/>
        <v>0.0700931435</v>
      </c>
      <c r="N718" s="3" t="s">
        <v>99</v>
      </c>
    </row>
    <row r="719" ht="15.75" customHeight="1">
      <c r="A719" s="19" t="s">
        <v>98</v>
      </c>
      <c r="B719" s="10">
        <v>6.1855789E8</v>
      </c>
      <c r="C719" s="9">
        <v>41.636</v>
      </c>
      <c r="D719" s="9">
        <v>72.993</v>
      </c>
      <c r="E719" s="9">
        <v>43.012</v>
      </c>
      <c r="F719" s="5">
        <v>8.3</v>
      </c>
      <c r="G719" s="5">
        <v>4.5</v>
      </c>
      <c r="H719" s="4">
        <f t="shared" si="37"/>
        <v>4.734410149</v>
      </c>
      <c r="I719" s="4">
        <f t="shared" si="38"/>
        <v>4.356040175</v>
      </c>
      <c r="J719" s="4">
        <f t="shared" si="39"/>
        <v>4.545225162</v>
      </c>
      <c r="K719" s="4">
        <f t="shared" si="40"/>
        <v>1.697038036</v>
      </c>
      <c r="L719" s="4">
        <f t="shared" si="41"/>
        <v>1.844444444</v>
      </c>
      <c r="M719" s="4">
        <f t="shared" si="42"/>
        <v>-0.07991913716</v>
      </c>
      <c r="N719" s="3" t="s">
        <v>99</v>
      </c>
    </row>
    <row r="720" ht="15.75" customHeight="1">
      <c r="A720" s="19" t="s">
        <v>98</v>
      </c>
      <c r="B720" s="21">
        <v>6.17304608E8</v>
      </c>
      <c r="C720" s="9">
        <v>70.246</v>
      </c>
      <c r="D720" s="9">
        <v>143.014</v>
      </c>
      <c r="E720" s="9">
        <v>84.501</v>
      </c>
      <c r="F720" s="5">
        <v>8.3</v>
      </c>
      <c r="G720" s="5">
        <v>4.5</v>
      </c>
      <c r="H720" s="4">
        <f t="shared" si="37"/>
        <v>4.076816256</v>
      </c>
      <c r="I720" s="4">
        <f t="shared" si="38"/>
        <v>3.740866972</v>
      </c>
      <c r="J720" s="4">
        <f t="shared" si="39"/>
        <v>3.908841614</v>
      </c>
      <c r="K720" s="4">
        <f t="shared" si="40"/>
        <v>1.692453344</v>
      </c>
      <c r="L720" s="4">
        <f t="shared" si="41"/>
        <v>1.844444444</v>
      </c>
      <c r="M720" s="4">
        <f t="shared" si="42"/>
        <v>-0.08240481363</v>
      </c>
      <c r="N720" s="3" t="s">
        <v>99</v>
      </c>
    </row>
    <row r="721" ht="15.75" customHeight="1">
      <c r="A721" s="19" t="s">
        <v>98</v>
      </c>
      <c r="B721" s="10">
        <v>6.17303561E8</v>
      </c>
      <c r="C721" s="9">
        <v>54.001</v>
      </c>
      <c r="D721" s="9">
        <v>106.376</v>
      </c>
      <c r="E721" s="9">
        <v>60.342</v>
      </c>
      <c r="F721" s="5">
        <v>8.3</v>
      </c>
      <c r="G721" s="5">
        <v>4.5</v>
      </c>
      <c r="H721" s="4">
        <f t="shared" si="37"/>
        <v>4.213434421</v>
      </c>
      <c r="I721" s="4">
        <f t="shared" si="38"/>
        <v>4.027120414</v>
      </c>
      <c r="J721" s="4">
        <f t="shared" si="39"/>
        <v>4.120277417</v>
      </c>
      <c r="K721" s="4">
        <f t="shared" si="40"/>
        <v>1.762884889</v>
      </c>
      <c r="L721" s="4">
        <f t="shared" si="41"/>
        <v>1.844444444</v>
      </c>
      <c r="M721" s="4">
        <f t="shared" si="42"/>
        <v>-0.04421903583</v>
      </c>
      <c r="N721" s="3" t="s">
        <v>99</v>
      </c>
    </row>
    <row r="722" ht="15.75" customHeight="1">
      <c r="A722" s="19" t="s">
        <v>98</v>
      </c>
      <c r="B722" s="10">
        <v>6.15860193E8</v>
      </c>
      <c r="C722" s="9">
        <v>66.027</v>
      </c>
      <c r="D722" s="9">
        <v>135.148</v>
      </c>
      <c r="E722" s="9">
        <v>76.903</v>
      </c>
      <c r="F722" s="5">
        <v>8.3</v>
      </c>
      <c r="G722" s="5">
        <v>4.5</v>
      </c>
      <c r="H722" s="4">
        <f t="shared" si="37"/>
        <v>4.054992305</v>
      </c>
      <c r="I722" s="4">
        <f t="shared" si="38"/>
        <v>3.863587896</v>
      </c>
      <c r="J722" s="4">
        <f t="shared" si="39"/>
        <v>3.959290101</v>
      </c>
      <c r="K722" s="4">
        <f t="shared" si="40"/>
        <v>1.757382677</v>
      </c>
      <c r="L722" s="4">
        <f t="shared" si="41"/>
        <v>1.844444444</v>
      </c>
      <c r="M722" s="4">
        <f t="shared" si="42"/>
        <v>-0.04720216314</v>
      </c>
      <c r="N722" s="3" t="s">
        <v>99</v>
      </c>
    </row>
    <row r="723" ht="15.75" customHeight="1">
      <c r="A723" s="2" t="s">
        <v>100</v>
      </c>
      <c r="B723" s="3">
        <v>6.27546392E8</v>
      </c>
      <c r="C723" s="4">
        <v>35.199</v>
      </c>
      <c r="D723" s="4">
        <v>53.108</v>
      </c>
      <c r="E723" s="4">
        <v>35.938</v>
      </c>
      <c r="F723" s="5">
        <v>10.3</v>
      </c>
      <c r="G723" s="5">
        <v>6.0</v>
      </c>
      <c r="H723" s="4">
        <f t="shared" si="37"/>
        <v>6.826649469</v>
      </c>
      <c r="I723" s="4">
        <f t="shared" si="38"/>
        <v>5.876620847</v>
      </c>
      <c r="J723" s="4">
        <f t="shared" si="39"/>
        <v>6.351635158</v>
      </c>
      <c r="K723" s="4">
        <f t="shared" si="40"/>
        <v>1.477767266</v>
      </c>
      <c r="L723" s="4">
        <f t="shared" si="41"/>
        <v>1.716666667</v>
      </c>
      <c r="M723" s="4">
        <f t="shared" si="42"/>
        <v>-0.1391646995</v>
      </c>
      <c r="N723" s="3" t="s">
        <v>101</v>
      </c>
    </row>
    <row r="724" ht="15.75" customHeight="1">
      <c r="A724" s="19" t="s">
        <v>100</v>
      </c>
      <c r="B724" s="3">
        <v>6.26080337E8</v>
      </c>
      <c r="C724" s="9">
        <v>35.756</v>
      </c>
      <c r="D724" s="9">
        <v>49.882</v>
      </c>
      <c r="E724" s="9">
        <v>31.089</v>
      </c>
      <c r="F724" s="5">
        <v>10.3</v>
      </c>
      <c r="G724" s="5">
        <v>6.0</v>
      </c>
      <c r="H724" s="4">
        <f t="shared" si="37"/>
        <v>7.383160258</v>
      </c>
      <c r="I724" s="4">
        <f t="shared" si="38"/>
        <v>6.900704429</v>
      </c>
      <c r="J724" s="4">
        <f t="shared" si="39"/>
        <v>7.141932344</v>
      </c>
      <c r="K724" s="4">
        <f t="shared" si="40"/>
        <v>1.604490334</v>
      </c>
      <c r="L724" s="4">
        <f t="shared" si="41"/>
        <v>1.716666667</v>
      </c>
      <c r="M724" s="4">
        <f t="shared" si="42"/>
        <v>-0.06534543639</v>
      </c>
      <c r="N724" s="3" t="s">
        <v>101</v>
      </c>
    </row>
    <row r="725" ht="15.75" customHeight="1">
      <c r="A725" s="19" t="s">
        <v>100</v>
      </c>
      <c r="B725" s="3">
        <v>2.04680601E8</v>
      </c>
      <c r="C725" s="9">
        <v>52.995</v>
      </c>
      <c r="D725" s="9">
        <v>65.51</v>
      </c>
      <c r="E725" s="9">
        <v>40.512</v>
      </c>
      <c r="F725" s="5">
        <v>10.3</v>
      </c>
      <c r="G725" s="5">
        <v>6.0</v>
      </c>
      <c r="H725" s="4">
        <f t="shared" si="37"/>
        <v>8.33229278</v>
      </c>
      <c r="I725" s="4">
        <f t="shared" si="38"/>
        <v>7.848785545</v>
      </c>
      <c r="J725" s="4">
        <f t="shared" si="39"/>
        <v>8.090539162</v>
      </c>
      <c r="K725" s="4">
        <f t="shared" si="40"/>
        <v>1.617051738</v>
      </c>
      <c r="L725" s="4">
        <f t="shared" si="41"/>
        <v>1.716666667</v>
      </c>
      <c r="M725" s="4">
        <f t="shared" si="42"/>
        <v>-0.05802811393</v>
      </c>
      <c r="N725" s="3" t="s">
        <v>101</v>
      </c>
    </row>
    <row r="726" ht="15.75" customHeight="1">
      <c r="A726" s="6" t="s">
        <v>100</v>
      </c>
      <c r="B726" s="3">
        <v>6.7534341E7</v>
      </c>
      <c r="C726" s="9">
        <v>37.222</v>
      </c>
      <c r="D726" s="9">
        <v>55.379</v>
      </c>
      <c r="E726" s="9">
        <v>38.737</v>
      </c>
      <c r="F726" s="5">
        <v>10.3</v>
      </c>
      <c r="G726" s="5">
        <v>6.0</v>
      </c>
      <c r="H726" s="4">
        <f t="shared" si="37"/>
        <v>6.922959967</v>
      </c>
      <c r="I726" s="4">
        <f t="shared" si="38"/>
        <v>5.76534063</v>
      </c>
      <c r="J726" s="4">
        <f t="shared" si="39"/>
        <v>6.344150299</v>
      </c>
      <c r="K726" s="4">
        <f t="shared" si="40"/>
        <v>1.429615097</v>
      </c>
      <c r="L726" s="4">
        <f t="shared" si="41"/>
        <v>1.716666667</v>
      </c>
      <c r="M726" s="4">
        <f t="shared" si="42"/>
        <v>-0.1672145068</v>
      </c>
      <c r="N726" s="3" t="s">
        <v>101</v>
      </c>
    </row>
    <row r="727" ht="15.75" customHeight="1">
      <c r="A727" s="19" t="s">
        <v>100</v>
      </c>
      <c r="B727" s="3">
        <v>1.73200261E8</v>
      </c>
      <c r="C727" s="9">
        <v>50.596</v>
      </c>
      <c r="D727" s="9">
        <v>63.571</v>
      </c>
      <c r="E727" s="9">
        <v>39.825</v>
      </c>
      <c r="F727" s="5">
        <v>10.3</v>
      </c>
      <c r="G727" s="5">
        <v>6.0</v>
      </c>
      <c r="H727" s="4">
        <f t="shared" si="37"/>
        <v>8.197744254</v>
      </c>
      <c r="I727" s="4">
        <f t="shared" si="38"/>
        <v>7.622749529</v>
      </c>
      <c r="J727" s="4">
        <f t="shared" si="39"/>
        <v>7.910246892</v>
      </c>
      <c r="K727" s="4">
        <f t="shared" si="40"/>
        <v>1.596258632</v>
      </c>
      <c r="L727" s="4">
        <f t="shared" si="41"/>
        <v>1.716666667</v>
      </c>
      <c r="M727" s="4">
        <f t="shared" si="42"/>
        <v>-0.070140603</v>
      </c>
      <c r="N727" s="3" t="s">
        <v>101</v>
      </c>
    </row>
    <row r="728" ht="15.75" customHeight="1">
      <c r="A728" s="6" t="s">
        <v>100</v>
      </c>
      <c r="B728" s="3">
        <v>6.31650981E8</v>
      </c>
      <c r="C728" s="4">
        <v>32.344</v>
      </c>
      <c r="D728" s="4">
        <v>50.218</v>
      </c>
      <c r="E728" s="4">
        <v>36.995</v>
      </c>
      <c r="F728" s="5">
        <v>10.3</v>
      </c>
      <c r="G728" s="5">
        <v>6.0</v>
      </c>
      <c r="H728" s="4">
        <f t="shared" si="37"/>
        <v>6.633940022</v>
      </c>
      <c r="I728" s="4">
        <f t="shared" si="38"/>
        <v>5.245681849</v>
      </c>
      <c r="J728" s="4">
        <f t="shared" si="39"/>
        <v>5.939810935</v>
      </c>
      <c r="K728" s="4">
        <f t="shared" si="40"/>
        <v>1.357426679</v>
      </c>
      <c r="L728" s="4">
        <f t="shared" si="41"/>
        <v>1.716666667</v>
      </c>
      <c r="M728" s="4">
        <f t="shared" si="42"/>
        <v>-0.2092660121</v>
      </c>
      <c r="N728" s="3" t="s">
        <v>101</v>
      </c>
    </row>
    <row r="729" ht="15.75" customHeight="1">
      <c r="A729" s="6" t="s">
        <v>100</v>
      </c>
      <c r="B729" s="3">
        <v>6.30909382E8</v>
      </c>
      <c r="C729" s="4">
        <v>46.5</v>
      </c>
      <c r="D729" s="4">
        <v>58.274</v>
      </c>
      <c r="E729" s="4">
        <v>45.059</v>
      </c>
      <c r="F729" s="5">
        <v>10.3</v>
      </c>
      <c r="G729" s="5">
        <v>6.0</v>
      </c>
      <c r="H729" s="4">
        <f t="shared" si="37"/>
        <v>8.218931256</v>
      </c>
      <c r="I729" s="4">
        <f t="shared" si="38"/>
        <v>6.191881755</v>
      </c>
      <c r="J729" s="4">
        <f t="shared" si="39"/>
        <v>7.205406505</v>
      </c>
      <c r="K729" s="4">
        <f t="shared" si="40"/>
        <v>1.293282141</v>
      </c>
      <c r="L729" s="4">
        <f t="shared" si="41"/>
        <v>1.716666667</v>
      </c>
      <c r="M729" s="4">
        <f t="shared" si="42"/>
        <v>-0.2466317624</v>
      </c>
      <c r="N729" s="3" t="s">
        <v>101</v>
      </c>
    </row>
    <row r="730" ht="15.75" customHeight="1">
      <c r="A730" s="6" t="s">
        <v>100</v>
      </c>
      <c r="B730" s="3">
        <v>6.19331581E8</v>
      </c>
      <c r="C730" s="4">
        <v>34.786</v>
      </c>
      <c r="D730" s="4">
        <v>45.069</v>
      </c>
      <c r="E730" s="4">
        <v>33.86</v>
      </c>
      <c r="F730" s="5">
        <v>10.3</v>
      </c>
      <c r="G730" s="5">
        <v>6.0</v>
      </c>
      <c r="H730" s="4">
        <f t="shared" si="37"/>
        <v>7.949938982</v>
      </c>
      <c r="I730" s="4">
        <f t="shared" si="38"/>
        <v>6.164087419</v>
      </c>
      <c r="J730" s="4">
        <f t="shared" si="39"/>
        <v>7.057013201</v>
      </c>
      <c r="K730" s="4">
        <f t="shared" si="40"/>
        <v>1.331039575</v>
      </c>
      <c r="L730" s="4">
        <f t="shared" si="41"/>
        <v>1.716666667</v>
      </c>
      <c r="M730" s="4">
        <f t="shared" si="42"/>
        <v>-0.2246371409</v>
      </c>
      <c r="N730" s="3" t="s">
        <v>101</v>
      </c>
    </row>
    <row r="731" ht="15.75" customHeight="1">
      <c r="A731" s="6" t="s">
        <v>100</v>
      </c>
      <c r="B731" s="3">
        <v>1.97697541E8</v>
      </c>
      <c r="C731" s="4">
        <v>22.632</v>
      </c>
      <c r="D731" s="4">
        <v>38.312</v>
      </c>
      <c r="E731" s="4">
        <v>29.237</v>
      </c>
      <c r="F731" s="5">
        <v>10.3</v>
      </c>
      <c r="G731" s="5">
        <v>6.0</v>
      </c>
      <c r="H731" s="4">
        <f t="shared" si="37"/>
        <v>6.08450616</v>
      </c>
      <c r="I731" s="4">
        <f t="shared" si="38"/>
        <v>4.644525772</v>
      </c>
      <c r="J731" s="4">
        <f t="shared" si="39"/>
        <v>5.364515966</v>
      </c>
      <c r="K731" s="4">
        <f t="shared" si="40"/>
        <v>1.310394363</v>
      </c>
      <c r="L731" s="4">
        <f t="shared" si="41"/>
        <v>1.716666667</v>
      </c>
      <c r="M731" s="4">
        <f t="shared" si="42"/>
        <v>-0.2366634777</v>
      </c>
      <c r="N731" s="3" t="s">
        <v>101</v>
      </c>
    </row>
    <row r="732" ht="15.75" customHeight="1">
      <c r="A732" s="6" t="s">
        <v>100</v>
      </c>
      <c r="B732" s="3">
        <v>6.19274524E8</v>
      </c>
      <c r="C732" s="4">
        <v>40.903</v>
      </c>
      <c r="D732" s="4">
        <v>61.865</v>
      </c>
      <c r="E732" s="4">
        <v>44.001</v>
      </c>
      <c r="F732" s="5">
        <v>10.3</v>
      </c>
      <c r="G732" s="5">
        <v>6.0</v>
      </c>
      <c r="H732" s="4">
        <f t="shared" si="37"/>
        <v>6.810004041</v>
      </c>
      <c r="I732" s="4">
        <f t="shared" si="38"/>
        <v>5.577555056</v>
      </c>
      <c r="J732" s="4">
        <f t="shared" si="39"/>
        <v>6.193779548</v>
      </c>
      <c r="K732" s="4">
        <f t="shared" si="40"/>
        <v>1.405990773</v>
      </c>
      <c r="L732" s="4">
        <f t="shared" si="41"/>
        <v>1.716666667</v>
      </c>
      <c r="M732" s="4">
        <f t="shared" si="42"/>
        <v>-0.1809762488</v>
      </c>
      <c r="N732" s="3" t="s">
        <v>101</v>
      </c>
    </row>
    <row r="733" ht="15.75" customHeight="1">
      <c r="A733" s="19" t="s">
        <v>100</v>
      </c>
      <c r="B733" s="3">
        <v>5.99327491E8</v>
      </c>
      <c r="C733" s="9">
        <v>40.908</v>
      </c>
      <c r="D733" s="9">
        <v>57.244</v>
      </c>
      <c r="E733" s="9">
        <v>36.818</v>
      </c>
      <c r="F733" s="5">
        <v>10.3</v>
      </c>
      <c r="G733" s="5">
        <v>6.0</v>
      </c>
      <c r="H733" s="4">
        <f t="shared" si="37"/>
        <v>7.36063867</v>
      </c>
      <c r="I733" s="4">
        <f t="shared" si="38"/>
        <v>6.66652181</v>
      </c>
      <c r="J733" s="4">
        <f t="shared" si="39"/>
        <v>7.01358024</v>
      </c>
      <c r="K733" s="4">
        <f t="shared" si="40"/>
        <v>1.554782987</v>
      </c>
      <c r="L733" s="4">
        <f t="shared" si="41"/>
        <v>1.716666667</v>
      </c>
      <c r="M733" s="4">
        <f t="shared" si="42"/>
        <v>-0.09430117286</v>
      </c>
      <c r="N733" s="3" t="s">
        <v>101</v>
      </c>
    </row>
    <row r="734" ht="15.75" customHeight="1">
      <c r="A734" s="3" t="s">
        <v>100</v>
      </c>
      <c r="B734" s="3">
        <v>6.38975582E8</v>
      </c>
      <c r="C734" s="4">
        <v>29.294</v>
      </c>
      <c r="D734" s="4">
        <v>39.803</v>
      </c>
      <c r="E734" s="4">
        <v>25.372</v>
      </c>
      <c r="F734" s="5">
        <v>10.3</v>
      </c>
      <c r="G734" s="5">
        <v>6.0</v>
      </c>
      <c r="H734" s="4">
        <f t="shared" si="37"/>
        <v>7.580539155</v>
      </c>
      <c r="I734" s="4">
        <f t="shared" si="38"/>
        <v>6.927479111</v>
      </c>
      <c r="J734" s="4">
        <f t="shared" si="39"/>
        <v>7.254009133</v>
      </c>
      <c r="K734" s="4">
        <f t="shared" si="40"/>
        <v>1.568776604</v>
      </c>
      <c r="L734" s="4">
        <f t="shared" si="41"/>
        <v>1.716666667</v>
      </c>
      <c r="M734" s="4">
        <f t="shared" si="42"/>
        <v>-0.08614955099</v>
      </c>
      <c r="N734" s="3" t="s">
        <v>101</v>
      </c>
    </row>
    <row r="735" ht="15.75" customHeight="1">
      <c r="A735" s="19" t="s">
        <v>100</v>
      </c>
      <c r="B735" s="3">
        <v>5.47044441E8</v>
      </c>
      <c r="C735" s="9">
        <v>40.585</v>
      </c>
      <c r="D735" s="9">
        <v>59.577</v>
      </c>
      <c r="E735" s="9">
        <v>36.77</v>
      </c>
      <c r="F735" s="5">
        <v>10.3</v>
      </c>
      <c r="G735" s="5">
        <v>6.0</v>
      </c>
      <c r="H735" s="4">
        <f t="shared" si="37"/>
        <v>7.016558403</v>
      </c>
      <c r="I735" s="4">
        <f t="shared" si="38"/>
        <v>6.622518357</v>
      </c>
      <c r="J735" s="4">
        <f t="shared" si="39"/>
        <v>6.81953838</v>
      </c>
      <c r="K735" s="4">
        <f t="shared" si="40"/>
        <v>1.620261082</v>
      </c>
      <c r="L735" s="4">
        <f t="shared" si="41"/>
        <v>1.716666667</v>
      </c>
      <c r="M735" s="4">
        <f t="shared" si="42"/>
        <v>-0.05615859277</v>
      </c>
      <c r="N735" s="3" t="s">
        <v>101</v>
      </c>
    </row>
    <row r="736" ht="15.75" customHeight="1">
      <c r="A736" s="6" t="s">
        <v>100</v>
      </c>
      <c r="B736" s="3">
        <v>3.03889391E8</v>
      </c>
      <c r="C736" s="4">
        <v>47.94</v>
      </c>
      <c r="D736" s="4">
        <v>59.943</v>
      </c>
      <c r="E736" s="4">
        <v>45.714</v>
      </c>
      <c r="F736" s="5">
        <v>10.3</v>
      </c>
      <c r="G736" s="5">
        <v>6.0</v>
      </c>
      <c r="H736" s="4">
        <f t="shared" si="37"/>
        <v>8.237525649</v>
      </c>
      <c r="I736" s="4">
        <f t="shared" si="38"/>
        <v>6.292164326</v>
      </c>
      <c r="J736" s="4">
        <f t="shared" si="39"/>
        <v>7.264844988</v>
      </c>
      <c r="K736" s="4">
        <f t="shared" si="40"/>
        <v>1.31126132</v>
      </c>
      <c r="L736" s="4">
        <f t="shared" si="41"/>
        <v>1.716666667</v>
      </c>
      <c r="M736" s="4">
        <f t="shared" si="42"/>
        <v>-0.2361584541</v>
      </c>
      <c r="N736" s="3" t="s">
        <v>101</v>
      </c>
    </row>
    <row r="737" ht="15.75" customHeight="1">
      <c r="A737" s="6" t="s">
        <v>100</v>
      </c>
      <c r="B737" s="3">
        <v>8.3872861E7</v>
      </c>
      <c r="C737" s="4">
        <v>39.543</v>
      </c>
      <c r="D737" s="4">
        <v>46.907</v>
      </c>
      <c r="E737" s="4">
        <v>34.98</v>
      </c>
      <c r="F737" s="5">
        <v>10.3</v>
      </c>
      <c r="G737" s="5">
        <v>6.0</v>
      </c>
      <c r="H737" s="4">
        <f t="shared" si="37"/>
        <v>8.682987614</v>
      </c>
      <c r="I737" s="4">
        <f t="shared" si="38"/>
        <v>6.782675815</v>
      </c>
      <c r="J737" s="4">
        <f t="shared" si="39"/>
        <v>7.732831714</v>
      </c>
      <c r="K737" s="4">
        <f t="shared" si="40"/>
        <v>1.340966266</v>
      </c>
      <c r="L737" s="4">
        <f t="shared" si="41"/>
        <v>1.716666667</v>
      </c>
      <c r="M737" s="4">
        <f t="shared" si="42"/>
        <v>-0.2188546021</v>
      </c>
      <c r="N737" s="3" t="s">
        <v>101</v>
      </c>
    </row>
    <row r="738" ht="15.75" customHeight="1">
      <c r="A738" s="22" t="s">
        <v>100</v>
      </c>
      <c r="B738" s="10">
        <v>6.41535268E8</v>
      </c>
      <c r="C738" s="9">
        <v>50.559</v>
      </c>
      <c r="D738" s="9">
        <v>65.462</v>
      </c>
      <c r="E738" s="9">
        <v>42.547</v>
      </c>
      <c r="F738" s="5">
        <v>10.3</v>
      </c>
      <c r="G738" s="5">
        <v>6.0</v>
      </c>
      <c r="H738" s="4">
        <f t="shared" si="37"/>
        <v>7.955114418</v>
      </c>
      <c r="I738" s="4">
        <f t="shared" si="38"/>
        <v>7.129856394</v>
      </c>
      <c r="J738" s="4">
        <f t="shared" si="39"/>
        <v>7.542485406</v>
      </c>
      <c r="K738" s="4">
        <f t="shared" si="40"/>
        <v>1.538580864</v>
      </c>
      <c r="L738" s="4">
        <f t="shared" si="41"/>
        <v>1.716666667</v>
      </c>
      <c r="M738" s="4">
        <f t="shared" si="42"/>
        <v>-0.1037393028</v>
      </c>
      <c r="N738" s="3" t="s">
        <v>101</v>
      </c>
    </row>
    <row r="739" ht="15.75" customHeight="1">
      <c r="A739" s="22" t="s">
        <v>100</v>
      </c>
      <c r="B739" s="8">
        <v>5.96209601E8</v>
      </c>
      <c r="C739" s="9">
        <v>53.226</v>
      </c>
      <c r="D739" s="9">
        <v>64.57</v>
      </c>
      <c r="E739" s="9">
        <v>40.227</v>
      </c>
      <c r="F739" s="5">
        <v>10.3</v>
      </c>
      <c r="G739" s="5">
        <v>6.0</v>
      </c>
      <c r="H739" s="4">
        <f t="shared" si="37"/>
        <v>8.490441381</v>
      </c>
      <c r="I739" s="4">
        <f t="shared" si="38"/>
        <v>7.938847043</v>
      </c>
      <c r="J739" s="4">
        <f t="shared" si="39"/>
        <v>8.214644212</v>
      </c>
      <c r="K739" s="4">
        <f t="shared" si="40"/>
        <v>1.605140826</v>
      </c>
      <c r="L739" s="4">
        <f t="shared" si="41"/>
        <v>1.716666667</v>
      </c>
      <c r="M739" s="4">
        <f t="shared" si="42"/>
        <v>-0.06496650923</v>
      </c>
      <c r="N739" s="3" t="s">
        <v>101</v>
      </c>
    </row>
    <row r="740" ht="15.75" customHeight="1">
      <c r="A740" s="23" t="s">
        <v>100</v>
      </c>
      <c r="B740" s="8">
        <v>6.27769925E8</v>
      </c>
      <c r="C740" s="9">
        <v>66.954</v>
      </c>
      <c r="D740" s="9">
        <v>93.941</v>
      </c>
      <c r="E740" s="9">
        <v>63.032</v>
      </c>
      <c r="F740" s="5">
        <v>10.3</v>
      </c>
      <c r="G740" s="5">
        <v>6.0</v>
      </c>
      <c r="H740" s="4">
        <f t="shared" si="37"/>
        <v>7.341056621</v>
      </c>
      <c r="I740" s="4">
        <f t="shared" si="38"/>
        <v>6.373334179</v>
      </c>
      <c r="J740" s="4">
        <f t="shared" si="39"/>
        <v>6.8571954</v>
      </c>
      <c r="K740" s="4">
        <f t="shared" si="40"/>
        <v>1.490369971</v>
      </c>
      <c r="L740" s="4">
        <f t="shared" si="41"/>
        <v>1.716666667</v>
      </c>
      <c r="M740" s="4">
        <f t="shared" si="42"/>
        <v>-0.131823318</v>
      </c>
      <c r="N740" s="3" t="s">
        <v>101</v>
      </c>
    </row>
    <row r="741" ht="15.75" customHeight="1">
      <c r="A741" s="23" t="s">
        <v>100</v>
      </c>
      <c r="B741" s="10">
        <v>6.25576856E8</v>
      </c>
      <c r="C741" s="9">
        <v>138.134</v>
      </c>
      <c r="D741" s="9">
        <v>199.972</v>
      </c>
      <c r="E741" s="9">
        <v>131.469</v>
      </c>
      <c r="F741" s="5">
        <v>10.3</v>
      </c>
      <c r="G741" s="5">
        <v>6.0</v>
      </c>
      <c r="H741" s="4">
        <f t="shared" si="37"/>
        <v>7.114897086</v>
      </c>
      <c r="I741" s="4">
        <f t="shared" si="38"/>
        <v>6.304178171</v>
      </c>
      <c r="J741" s="4">
        <f t="shared" si="39"/>
        <v>6.709537628</v>
      </c>
      <c r="K741" s="4">
        <f t="shared" si="40"/>
        <v>1.521058196</v>
      </c>
      <c r="L741" s="4">
        <f t="shared" si="41"/>
        <v>1.716666667</v>
      </c>
      <c r="M741" s="4">
        <f t="shared" si="42"/>
        <v>-0.1139466818</v>
      </c>
      <c r="N741" s="3" t="s">
        <v>101</v>
      </c>
    </row>
    <row r="742" ht="15.75" customHeight="1">
      <c r="A742" s="23" t="s">
        <v>100</v>
      </c>
      <c r="B742" s="24">
        <v>1.88499931E8</v>
      </c>
      <c r="C742" s="9">
        <v>66.999</v>
      </c>
      <c r="D742" s="9">
        <v>92.849</v>
      </c>
      <c r="E742" s="9">
        <v>64.341</v>
      </c>
      <c r="F742" s="5">
        <v>10.3</v>
      </c>
      <c r="G742" s="5">
        <v>6.0</v>
      </c>
      <c r="H742" s="4">
        <f t="shared" si="37"/>
        <v>7.432386994</v>
      </c>
      <c r="I742" s="4">
        <f t="shared" si="38"/>
        <v>6.247866835</v>
      </c>
      <c r="J742" s="4">
        <f t="shared" si="39"/>
        <v>6.840126914</v>
      </c>
      <c r="K742" s="4">
        <f t="shared" si="40"/>
        <v>1.443076732</v>
      </c>
      <c r="L742" s="4">
        <f t="shared" si="41"/>
        <v>1.716666667</v>
      </c>
      <c r="M742" s="4">
        <f t="shared" si="42"/>
        <v>-0.1593727776</v>
      </c>
      <c r="N742" s="3" t="s">
        <v>101</v>
      </c>
    </row>
    <row r="743" ht="15.75" customHeight="1">
      <c r="A743" s="22" t="s">
        <v>100</v>
      </c>
      <c r="B743" s="8">
        <v>1.70100011E8</v>
      </c>
      <c r="C743" s="9">
        <v>62.482</v>
      </c>
      <c r="D743" s="9">
        <v>99.421</v>
      </c>
      <c r="E743" s="9">
        <v>63.642</v>
      </c>
      <c r="F743" s="5">
        <v>10.3</v>
      </c>
      <c r="G743" s="5">
        <v>6.0</v>
      </c>
      <c r="H743" s="4">
        <f t="shared" si="37"/>
        <v>6.473125396</v>
      </c>
      <c r="I743" s="4">
        <f t="shared" si="38"/>
        <v>5.890638258</v>
      </c>
      <c r="J743" s="4">
        <f t="shared" si="39"/>
        <v>6.181881827</v>
      </c>
      <c r="K743" s="4">
        <f t="shared" si="40"/>
        <v>1.562191634</v>
      </c>
      <c r="L743" s="4">
        <f t="shared" si="41"/>
        <v>1.716666667</v>
      </c>
      <c r="M743" s="4">
        <f t="shared" si="42"/>
        <v>-0.08998545566</v>
      </c>
      <c r="N743" s="3" t="s">
        <v>101</v>
      </c>
    </row>
    <row r="744" ht="15.75" customHeight="1">
      <c r="A744" s="22" t="s">
        <v>100</v>
      </c>
      <c r="B744" s="8">
        <v>1.35405771E8</v>
      </c>
      <c r="C744" s="9">
        <v>53.617</v>
      </c>
      <c r="D744" s="9">
        <v>78.772</v>
      </c>
      <c r="E744" s="9">
        <v>49.791</v>
      </c>
      <c r="F744" s="5">
        <v>10.3</v>
      </c>
      <c r="G744" s="5">
        <v>6.0</v>
      </c>
      <c r="H744" s="4">
        <f t="shared" si="37"/>
        <v>7.010804601</v>
      </c>
      <c r="I744" s="4">
        <f t="shared" si="38"/>
        <v>6.461047177</v>
      </c>
      <c r="J744" s="4">
        <f t="shared" si="39"/>
        <v>6.735925889</v>
      </c>
      <c r="K744" s="4">
        <f t="shared" si="40"/>
        <v>1.582052981</v>
      </c>
      <c r="L744" s="4">
        <f t="shared" si="41"/>
        <v>1.716666667</v>
      </c>
      <c r="M744" s="4">
        <f t="shared" si="42"/>
        <v>-0.07841573895</v>
      </c>
      <c r="N744" s="3" t="s">
        <v>101</v>
      </c>
    </row>
    <row r="745" ht="15.75" customHeight="1">
      <c r="A745" s="3"/>
      <c r="B745" s="3"/>
      <c r="N745" s="3"/>
    </row>
    <row r="746" ht="15.75" customHeight="1">
      <c r="A746" s="3"/>
      <c r="B746" s="3"/>
      <c r="N746" s="3"/>
    </row>
    <row r="747" ht="15.75" customHeight="1">
      <c r="A747" s="3"/>
      <c r="B747" s="3"/>
      <c r="N747" s="3"/>
    </row>
    <row r="748" ht="15.75" customHeight="1">
      <c r="A748" s="3"/>
      <c r="B748" s="3"/>
      <c r="N748" s="3"/>
    </row>
    <row r="749" ht="15.75" customHeight="1">
      <c r="A749" s="3"/>
      <c r="B749" s="3"/>
      <c r="N749" s="3"/>
    </row>
    <row r="750" ht="15.75" customHeight="1">
      <c r="A750" s="3"/>
      <c r="B750" s="3"/>
      <c r="N750" s="3"/>
    </row>
    <row r="751" ht="15.75" customHeight="1">
      <c r="A751" s="3"/>
      <c r="B751" s="3"/>
      <c r="N751" s="3"/>
    </row>
    <row r="752" ht="15.75" customHeight="1">
      <c r="A752" s="3"/>
      <c r="B752" s="3"/>
      <c r="N752" s="3"/>
    </row>
    <row r="753" ht="15.75" customHeight="1">
      <c r="A753" s="3"/>
      <c r="B753" s="3"/>
      <c r="N753" s="3"/>
    </row>
    <row r="754" ht="15.75" customHeight="1">
      <c r="A754" s="3"/>
      <c r="B754" s="3"/>
      <c r="N754" s="3"/>
    </row>
    <row r="755" ht="15.75" customHeight="1">
      <c r="A755" s="3"/>
      <c r="B755" s="3"/>
      <c r="N755" s="3"/>
    </row>
    <row r="756" ht="15.75" customHeight="1">
      <c r="A756" s="3"/>
      <c r="B756" s="3"/>
      <c r="N756" s="3"/>
    </row>
    <row r="757" ht="15.75" customHeight="1">
      <c r="A757" s="3"/>
      <c r="B757" s="3"/>
      <c r="N757" s="3"/>
    </row>
    <row r="758" ht="15.75" customHeight="1">
      <c r="A758" s="3"/>
      <c r="B758" s="3"/>
      <c r="N758" s="3"/>
    </row>
    <row r="759" ht="15.75" customHeight="1">
      <c r="A759" s="3"/>
      <c r="B759" s="3"/>
      <c r="N759" s="3"/>
    </row>
    <row r="760" ht="15.75" customHeight="1">
      <c r="A760" s="3"/>
      <c r="B760" s="3"/>
      <c r="N760" s="3"/>
    </row>
    <row r="761" ht="15.75" customHeight="1">
      <c r="A761" s="3"/>
      <c r="B761" s="3"/>
      <c r="N761" s="3"/>
    </row>
    <row r="762" ht="15.75" customHeight="1">
      <c r="A762" s="3"/>
      <c r="B762" s="3"/>
      <c r="N762" s="3"/>
    </row>
    <row r="763" ht="15.75" customHeight="1">
      <c r="A763" s="3"/>
      <c r="B763" s="3"/>
      <c r="N763" s="3"/>
    </row>
    <row r="764" ht="15.75" customHeight="1">
      <c r="A764" s="3"/>
      <c r="B764" s="3"/>
      <c r="N764" s="3"/>
    </row>
    <row r="765" ht="15.75" customHeight="1">
      <c r="A765" s="3"/>
      <c r="B765" s="3"/>
      <c r="N765" s="3"/>
    </row>
    <row r="766" ht="15.75" customHeight="1">
      <c r="A766" s="3"/>
      <c r="B766" s="3"/>
      <c r="N766" s="3"/>
    </row>
    <row r="767" ht="15.75" customHeight="1">
      <c r="A767" s="3"/>
      <c r="B767" s="3"/>
      <c r="N767" s="3"/>
    </row>
    <row r="768" ht="15.75" customHeight="1">
      <c r="A768" s="3"/>
      <c r="B768" s="3"/>
      <c r="N768" s="3"/>
    </row>
    <row r="769" ht="15.75" customHeight="1">
      <c r="A769" s="3"/>
      <c r="B769" s="3"/>
      <c r="N769" s="3"/>
    </row>
    <row r="770" ht="15.75" customHeight="1">
      <c r="A770" s="3"/>
      <c r="B770" s="3"/>
      <c r="N770" s="3"/>
    </row>
    <row r="771" ht="15.75" customHeight="1">
      <c r="A771" s="3"/>
      <c r="B771" s="3"/>
      <c r="N771" s="3"/>
    </row>
    <row r="772" ht="15.75" customHeight="1">
      <c r="A772" s="3"/>
      <c r="B772" s="3"/>
      <c r="N772" s="3"/>
    </row>
    <row r="773" ht="15.75" customHeight="1">
      <c r="A773" s="3"/>
      <c r="B773" s="3"/>
      <c r="N773" s="3"/>
    </row>
    <row r="774" ht="15.75" customHeight="1">
      <c r="A774" s="3"/>
      <c r="B774" s="3"/>
      <c r="N774" s="3"/>
    </row>
    <row r="775" ht="15.75" customHeight="1">
      <c r="A775" s="3"/>
      <c r="B775" s="3"/>
      <c r="N775" s="3"/>
    </row>
    <row r="776" ht="15.75" customHeight="1">
      <c r="A776" s="3"/>
      <c r="B776" s="3"/>
      <c r="N776" s="3"/>
    </row>
    <row r="777" ht="15.75" customHeight="1">
      <c r="A777" s="3"/>
      <c r="B777" s="3"/>
      <c r="N777" s="3"/>
    </row>
    <row r="778" ht="15.75" customHeight="1">
      <c r="A778" s="3"/>
      <c r="B778" s="3"/>
      <c r="N778" s="3"/>
    </row>
    <row r="779" ht="15.75" customHeight="1">
      <c r="A779" s="3"/>
      <c r="B779" s="3"/>
      <c r="N779" s="3"/>
    </row>
    <row r="780" ht="15.75" customHeight="1">
      <c r="A780" s="3"/>
      <c r="B780" s="3"/>
      <c r="N780" s="3"/>
    </row>
    <row r="781" ht="15.75" customHeight="1">
      <c r="A781" s="3"/>
      <c r="B781" s="3"/>
      <c r="N781" s="3"/>
    </row>
    <row r="782" ht="15.75" customHeight="1">
      <c r="A782" s="3"/>
      <c r="B782" s="3"/>
      <c r="N782" s="3"/>
    </row>
    <row r="783" ht="15.75" customHeight="1">
      <c r="A783" s="3"/>
      <c r="B783" s="3"/>
      <c r="N783" s="3"/>
    </row>
    <row r="784" ht="15.75" customHeight="1">
      <c r="A784" s="3"/>
      <c r="B784" s="3"/>
      <c r="N784" s="3"/>
    </row>
    <row r="785" ht="15.75" customHeight="1">
      <c r="A785" s="3"/>
      <c r="B785" s="3"/>
      <c r="N785" s="3"/>
    </row>
    <row r="786" ht="15.75" customHeight="1">
      <c r="A786" s="3"/>
      <c r="B786" s="3"/>
      <c r="N786" s="3"/>
    </row>
    <row r="787" ht="15.75" customHeight="1">
      <c r="A787" s="3"/>
      <c r="B787" s="3"/>
      <c r="N787" s="3"/>
    </row>
    <row r="788" ht="15.75" customHeight="1">
      <c r="A788" s="3"/>
      <c r="B788" s="3"/>
      <c r="N788" s="3"/>
    </row>
    <row r="789" ht="15.75" customHeight="1">
      <c r="A789" s="3"/>
      <c r="B789" s="3"/>
      <c r="N789" s="3"/>
    </row>
    <row r="790" ht="15.75" customHeight="1">
      <c r="A790" s="3"/>
      <c r="B790" s="3"/>
      <c r="N790" s="3"/>
    </row>
    <row r="791" ht="15.75" customHeight="1">
      <c r="A791" s="3"/>
      <c r="B791" s="3"/>
      <c r="N791" s="3"/>
    </row>
    <row r="792" ht="15.75" customHeight="1">
      <c r="A792" s="3"/>
      <c r="B792" s="3"/>
      <c r="N792" s="3"/>
    </row>
    <row r="793" ht="15.75" customHeight="1">
      <c r="A793" s="3"/>
      <c r="B793" s="3"/>
      <c r="N793" s="3"/>
    </row>
    <row r="794" ht="15.75" customHeight="1">
      <c r="A794" s="3"/>
      <c r="B794" s="3"/>
      <c r="N794" s="3"/>
    </row>
    <row r="795" ht="15.75" customHeight="1">
      <c r="A795" s="3"/>
      <c r="B795" s="3"/>
      <c r="N795" s="3"/>
    </row>
    <row r="796" ht="15.75" customHeight="1">
      <c r="A796" s="3"/>
      <c r="B796" s="3"/>
      <c r="N796" s="3"/>
    </row>
    <row r="797" ht="15.75" customHeight="1">
      <c r="A797" s="3"/>
      <c r="B797" s="3"/>
      <c r="N797" s="3"/>
    </row>
    <row r="798" ht="15.75" customHeight="1">
      <c r="A798" s="3"/>
      <c r="B798" s="3"/>
      <c r="N798" s="3"/>
    </row>
    <row r="799" ht="15.75" customHeight="1">
      <c r="A799" s="3"/>
      <c r="B799" s="3"/>
      <c r="N799" s="3"/>
    </row>
    <row r="800" ht="15.75" customHeight="1">
      <c r="A800" s="3"/>
      <c r="B800" s="3"/>
      <c r="N800" s="3"/>
    </row>
    <row r="801" ht="15.75" customHeight="1">
      <c r="A801" s="3"/>
      <c r="B801" s="3"/>
      <c r="N801" s="3"/>
    </row>
    <row r="802" ht="15.75" customHeight="1">
      <c r="A802" s="3"/>
      <c r="B802" s="3"/>
      <c r="N802" s="3"/>
    </row>
    <row r="803" ht="15.75" customHeight="1">
      <c r="A803" s="3"/>
      <c r="B803" s="3"/>
      <c r="N803" s="3"/>
    </row>
    <row r="804" ht="15.75" customHeight="1">
      <c r="A804" s="3"/>
      <c r="B804" s="3"/>
      <c r="N804" s="3"/>
    </row>
    <row r="805" ht="15.75" customHeight="1">
      <c r="A805" s="3"/>
      <c r="B805" s="3"/>
      <c r="N805" s="3"/>
    </row>
    <row r="806" ht="15.75" customHeight="1">
      <c r="A806" s="3"/>
      <c r="B806" s="3"/>
      <c r="N806" s="3"/>
    </row>
    <row r="807" ht="15.75" customHeight="1">
      <c r="A807" s="3"/>
      <c r="B807" s="3"/>
      <c r="N807" s="3"/>
    </row>
    <row r="808" ht="15.75" customHeight="1">
      <c r="A808" s="3"/>
      <c r="B808" s="3"/>
      <c r="N808" s="3"/>
    </row>
    <row r="809" ht="15.75" customHeight="1">
      <c r="A809" s="3"/>
      <c r="B809" s="3"/>
      <c r="N809" s="3"/>
    </row>
    <row r="810" ht="15.75" customHeight="1">
      <c r="A810" s="3"/>
      <c r="B810" s="3"/>
      <c r="N810" s="3"/>
    </row>
    <row r="811" ht="15.75" customHeight="1">
      <c r="A811" s="3"/>
      <c r="B811" s="3"/>
      <c r="N811" s="3"/>
    </row>
    <row r="812" ht="15.75" customHeight="1">
      <c r="A812" s="3"/>
      <c r="B812" s="3"/>
      <c r="N812" s="3"/>
    </row>
    <row r="813" ht="15.75" customHeight="1">
      <c r="A813" s="3"/>
      <c r="B813" s="3"/>
      <c r="N813" s="3"/>
    </row>
    <row r="814" ht="15.75" customHeight="1">
      <c r="A814" s="3"/>
      <c r="B814" s="3"/>
      <c r="N814" s="3"/>
    </row>
    <row r="815" ht="15.75" customHeight="1">
      <c r="A815" s="3"/>
      <c r="B815" s="3"/>
      <c r="N815" s="3"/>
    </row>
    <row r="816" ht="15.75" customHeight="1">
      <c r="A816" s="3"/>
      <c r="B816" s="3"/>
      <c r="N816" s="3"/>
    </row>
    <row r="817" ht="15.75" customHeight="1">
      <c r="A817" s="3"/>
      <c r="B817" s="3"/>
      <c r="N817" s="3"/>
    </row>
    <row r="818" ht="15.75" customHeight="1">
      <c r="A818" s="3"/>
      <c r="B818" s="3"/>
      <c r="N818" s="3"/>
    </row>
    <row r="819" ht="15.75" customHeight="1">
      <c r="A819" s="3"/>
      <c r="B819" s="3"/>
      <c r="N819" s="3"/>
    </row>
    <row r="820" ht="15.75" customHeight="1">
      <c r="A820" s="3"/>
      <c r="B820" s="3"/>
      <c r="N820" s="3"/>
    </row>
    <row r="821" ht="15.75" customHeight="1">
      <c r="A821" s="3"/>
      <c r="B821" s="3"/>
      <c r="N821" s="3"/>
    </row>
    <row r="822" ht="15.75" customHeight="1">
      <c r="A822" s="3"/>
      <c r="B822" s="3"/>
      <c r="N822" s="3"/>
    </row>
    <row r="823" ht="15.75" customHeight="1">
      <c r="A823" s="3"/>
      <c r="B823" s="3"/>
      <c r="N823" s="3"/>
    </row>
    <row r="824" ht="15.75" customHeight="1">
      <c r="A824" s="3"/>
      <c r="B824" s="3"/>
      <c r="N824" s="3"/>
    </row>
    <row r="825" ht="15.75" customHeight="1">
      <c r="A825" s="3"/>
      <c r="B825" s="3"/>
      <c r="N825" s="3"/>
    </row>
    <row r="826" ht="15.75" customHeight="1">
      <c r="A826" s="3"/>
      <c r="B826" s="3"/>
      <c r="N826" s="3"/>
    </row>
    <row r="827" ht="15.75" customHeight="1">
      <c r="A827" s="3"/>
      <c r="B827" s="3"/>
      <c r="N827" s="3"/>
    </row>
    <row r="828" ht="15.75" customHeight="1">
      <c r="A828" s="3"/>
      <c r="B828" s="3"/>
      <c r="N828" s="3"/>
    </row>
    <row r="829" ht="15.75" customHeight="1">
      <c r="A829" s="3"/>
      <c r="B829" s="3"/>
      <c r="N829" s="3"/>
    </row>
    <row r="830" ht="15.75" customHeight="1">
      <c r="A830" s="3"/>
      <c r="B830" s="3"/>
      <c r="N830" s="3"/>
    </row>
    <row r="831" ht="15.75" customHeight="1">
      <c r="A831" s="3"/>
      <c r="B831" s="3"/>
      <c r="N831" s="3"/>
    </row>
    <row r="832" ht="15.75" customHeight="1">
      <c r="A832" s="3"/>
      <c r="B832" s="3"/>
      <c r="N832" s="3"/>
    </row>
    <row r="833" ht="15.75" customHeight="1">
      <c r="A833" s="3"/>
      <c r="B833" s="3"/>
      <c r="N833" s="3"/>
    </row>
    <row r="834" ht="15.75" customHeight="1">
      <c r="A834" s="3"/>
      <c r="B834" s="3"/>
      <c r="N834" s="3"/>
    </row>
    <row r="835" ht="15.75" customHeight="1">
      <c r="A835" s="3"/>
      <c r="B835" s="3"/>
      <c r="N835" s="3"/>
    </row>
    <row r="836" ht="15.75" customHeight="1">
      <c r="A836" s="3"/>
      <c r="B836" s="3"/>
      <c r="N836" s="3"/>
    </row>
    <row r="837" ht="15.75" customHeight="1">
      <c r="A837" s="3"/>
      <c r="B837" s="3"/>
      <c r="N837" s="3"/>
    </row>
    <row r="838" ht="15.75" customHeight="1">
      <c r="A838" s="3"/>
      <c r="B838" s="3"/>
      <c r="N838" s="3"/>
    </row>
    <row r="839" ht="15.75" customHeight="1">
      <c r="A839" s="3"/>
      <c r="B839" s="3"/>
      <c r="N839" s="3"/>
    </row>
    <row r="840" ht="15.75" customHeight="1">
      <c r="A840" s="3"/>
      <c r="B840" s="3"/>
      <c r="N840" s="3"/>
    </row>
    <row r="841" ht="15.75" customHeight="1">
      <c r="A841" s="3"/>
      <c r="B841" s="3"/>
      <c r="N841" s="3"/>
    </row>
    <row r="842" ht="15.75" customHeight="1">
      <c r="A842" s="3"/>
      <c r="B842" s="3"/>
      <c r="N842" s="3"/>
    </row>
    <row r="843" ht="15.75" customHeight="1">
      <c r="A843" s="3"/>
      <c r="B843" s="3"/>
      <c r="N843" s="3"/>
    </row>
    <row r="844" ht="15.75" customHeight="1">
      <c r="A844" s="3"/>
      <c r="B844" s="3"/>
      <c r="N844" s="3"/>
    </row>
    <row r="845" ht="15.75" customHeight="1">
      <c r="A845" s="3"/>
      <c r="B845" s="3"/>
      <c r="N845" s="3"/>
    </row>
    <row r="846" ht="15.75" customHeight="1">
      <c r="A846" s="3"/>
      <c r="B846" s="3"/>
      <c r="N846" s="3"/>
    </row>
    <row r="847" ht="15.75" customHeight="1">
      <c r="A847" s="3"/>
      <c r="B847" s="3"/>
      <c r="N847" s="3"/>
    </row>
    <row r="848" ht="15.75" customHeight="1">
      <c r="A848" s="3"/>
      <c r="B848" s="3"/>
      <c r="N848" s="3"/>
    </row>
    <row r="849" ht="15.75" customHeight="1">
      <c r="A849" s="3"/>
      <c r="B849" s="3"/>
      <c r="N849" s="3"/>
    </row>
    <row r="850" ht="15.75" customHeight="1">
      <c r="A850" s="3"/>
      <c r="B850" s="3"/>
      <c r="N850" s="3"/>
    </row>
    <row r="851" ht="15.75" customHeight="1">
      <c r="A851" s="3"/>
      <c r="B851" s="3"/>
      <c r="N851" s="3"/>
    </row>
    <row r="852" ht="15.75" customHeight="1">
      <c r="A852" s="3"/>
      <c r="B852" s="3"/>
      <c r="N852" s="3"/>
    </row>
    <row r="853" ht="15.75" customHeight="1">
      <c r="A853" s="3"/>
      <c r="B853" s="3"/>
      <c r="N853" s="3"/>
    </row>
    <row r="854" ht="15.75" customHeight="1">
      <c r="A854" s="3"/>
      <c r="B854" s="3"/>
      <c r="N854" s="3"/>
    </row>
    <row r="855" ht="15.75" customHeight="1">
      <c r="A855" s="3"/>
      <c r="B855" s="3"/>
      <c r="N855" s="3"/>
    </row>
    <row r="856" ht="15.75" customHeight="1">
      <c r="A856" s="3"/>
      <c r="B856" s="3"/>
      <c r="N856" s="3"/>
    </row>
    <row r="857" ht="15.75" customHeight="1">
      <c r="A857" s="3"/>
      <c r="B857" s="3"/>
      <c r="N857" s="3"/>
    </row>
    <row r="858" ht="15.75" customHeight="1">
      <c r="A858" s="3"/>
      <c r="B858" s="3"/>
      <c r="N858" s="3"/>
    </row>
    <row r="859" ht="15.75" customHeight="1">
      <c r="A859" s="3"/>
      <c r="B859" s="3"/>
      <c r="N859" s="3"/>
    </row>
    <row r="860" ht="15.75" customHeight="1">
      <c r="A860" s="3"/>
      <c r="B860" s="3"/>
      <c r="N860" s="3"/>
    </row>
    <row r="861" ht="15.75" customHeight="1">
      <c r="A861" s="3"/>
      <c r="B861" s="3"/>
      <c r="N861" s="3"/>
    </row>
    <row r="862" ht="15.75" customHeight="1">
      <c r="A862" s="3"/>
      <c r="B862" s="3"/>
      <c r="N862" s="3"/>
    </row>
    <row r="863" ht="15.75" customHeight="1">
      <c r="A863" s="3"/>
      <c r="B863" s="3"/>
      <c r="N863" s="3"/>
    </row>
    <row r="864" ht="15.75" customHeight="1">
      <c r="A864" s="3"/>
      <c r="B864" s="3"/>
      <c r="N864" s="3"/>
    </row>
    <row r="865" ht="15.75" customHeight="1">
      <c r="A865" s="3"/>
      <c r="B865" s="3"/>
      <c r="N865" s="3"/>
    </row>
    <row r="866" ht="15.75" customHeight="1">
      <c r="A866" s="3"/>
      <c r="B866" s="3"/>
      <c r="N866" s="3"/>
    </row>
    <row r="867" ht="15.75" customHeight="1">
      <c r="A867" s="3"/>
      <c r="B867" s="3"/>
      <c r="N867" s="3"/>
    </row>
    <row r="868" ht="15.75" customHeight="1">
      <c r="A868" s="3"/>
      <c r="B868" s="3"/>
      <c r="N868" s="3"/>
    </row>
    <row r="869" ht="15.75" customHeight="1">
      <c r="A869" s="3"/>
      <c r="B869" s="3"/>
      <c r="N869" s="3"/>
    </row>
    <row r="870" ht="15.75" customHeight="1">
      <c r="A870" s="3"/>
      <c r="B870" s="3"/>
      <c r="N870" s="3"/>
    </row>
    <row r="871" ht="15.75" customHeight="1">
      <c r="A871" s="3"/>
      <c r="B871" s="3"/>
      <c r="N871" s="3"/>
    </row>
    <row r="872" ht="15.75" customHeight="1">
      <c r="A872" s="3"/>
      <c r="B872" s="3"/>
      <c r="N872" s="3"/>
    </row>
    <row r="873" ht="15.75" customHeight="1">
      <c r="A873" s="3"/>
      <c r="B873" s="3"/>
      <c r="N873" s="3"/>
    </row>
    <row r="874" ht="15.75" customHeight="1">
      <c r="A874" s="3"/>
      <c r="B874" s="3"/>
      <c r="N874" s="3"/>
    </row>
    <row r="875" ht="15.75" customHeight="1">
      <c r="A875" s="3"/>
      <c r="B875" s="3"/>
      <c r="N875" s="3"/>
    </row>
    <row r="876" ht="15.75" customHeight="1">
      <c r="A876" s="3"/>
      <c r="B876" s="3"/>
      <c r="N876" s="3"/>
    </row>
    <row r="877" ht="15.75" customHeight="1">
      <c r="A877" s="3"/>
      <c r="B877" s="3"/>
      <c r="N877" s="3"/>
    </row>
    <row r="878" ht="15.75" customHeight="1">
      <c r="A878" s="3"/>
      <c r="B878" s="3"/>
      <c r="N878" s="3"/>
    </row>
    <row r="879" ht="15.75" customHeight="1">
      <c r="A879" s="3"/>
      <c r="B879" s="3"/>
      <c r="N879" s="3"/>
    </row>
    <row r="880" ht="15.75" customHeight="1">
      <c r="A880" s="3"/>
      <c r="B880" s="3"/>
      <c r="N880" s="3"/>
    </row>
    <row r="881" ht="15.75" customHeight="1">
      <c r="A881" s="3"/>
      <c r="B881" s="3"/>
      <c r="N881" s="3"/>
    </row>
    <row r="882" ht="15.75" customHeight="1">
      <c r="A882" s="3"/>
      <c r="B882" s="3"/>
      <c r="N882" s="3"/>
    </row>
    <row r="883" ht="15.75" customHeight="1">
      <c r="A883" s="3"/>
      <c r="B883" s="3"/>
      <c r="N883" s="3"/>
    </row>
    <row r="884" ht="15.75" customHeight="1">
      <c r="A884" s="3"/>
      <c r="B884" s="3"/>
      <c r="N884" s="3"/>
    </row>
    <row r="885" ht="15.75" customHeight="1">
      <c r="A885" s="3"/>
      <c r="B885" s="3"/>
      <c r="N885" s="3"/>
    </row>
    <row r="886" ht="15.75" customHeight="1">
      <c r="A886" s="3"/>
      <c r="B886" s="3"/>
      <c r="N886" s="3"/>
    </row>
    <row r="887" ht="15.75" customHeight="1">
      <c r="A887" s="3"/>
      <c r="B887" s="3"/>
      <c r="N887" s="3"/>
    </row>
    <row r="888" ht="15.75" customHeight="1">
      <c r="A888" s="3"/>
      <c r="B888" s="3"/>
      <c r="N888" s="3"/>
    </row>
    <row r="889" ht="15.75" customHeight="1">
      <c r="A889" s="3"/>
      <c r="B889" s="3"/>
      <c r="N889" s="3"/>
    </row>
    <row r="890" ht="15.75" customHeight="1">
      <c r="A890" s="3"/>
      <c r="B890" s="3"/>
      <c r="N890" s="3"/>
    </row>
    <row r="891" ht="15.75" customHeight="1">
      <c r="A891" s="3"/>
      <c r="B891" s="3"/>
      <c r="N891" s="3"/>
    </row>
    <row r="892" ht="15.75" customHeight="1">
      <c r="A892" s="3"/>
      <c r="B892" s="3"/>
      <c r="N892" s="3"/>
    </row>
    <row r="893" ht="15.75" customHeight="1">
      <c r="A893" s="3"/>
      <c r="B893" s="3"/>
      <c r="N893" s="3"/>
    </row>
    <row r="894" ht="15.75" customHeight="1">
      <c r="A894" s="3"/>
      <c r="B894" s="3"/>
      <c r="N894" s="3"/>
    </row>
    <row r="895" ht="15.75" customHeight="1">
      <c r="A895" s="3"/>
      <c r="B895" s="3"/>
      <c r="N895" s="3"/>
    </row>
    <row r="896" ht="15.75" customHeight="1">
      <c r="A896" s="3"/>
      <c r="B896" s="3"/>
      <c r="N896" s="3"/>
    </row>
    <row r="897" ht="15.75" customHeight="1">
      <c r="A897" s="3"/>
      <c r="B897" s="3"/>
      <c r="N897" s="3"/>
    </row>
    <row r="898" ht="15.75" customHeight="1">
      <c r="A898" s="3"/>
      <c r="B898" s="3"/>
      <c r="N898" s="3"/>
    </row>
    <row r="899" ht="15.75" customHeight="1">
      <c r="A899" s="3"/>
      <c r="B899" s="3"/>
      <c r="N899" s="3"/>
    </row>
    <row r="900" ht="15.75" customHeight="1">
      <c r="A900" s="3"/>
      <c r="B900" s="3"/>
      <c r="N900" s="3"/>
    </row>
    <row r="901" ht="15.75" customHeight="1">
      <c r="A901" s="3"/>
      <c r="B901" s="3"/>
      <c r="N901" s="3"/>
    </row>
    <row r="902" ht="15.75" customHeight="1">
      <c r="A902" s="3"/>
      <c r="B902" s="3"/>
      <c r="N902" s="3"/>
    </row>
    <row r="903" ht="15.75" customHeight="1">
      <c r="A903" s="3"/>
      <c r="B903" s="3"/>
      <c r="N903" s="3"/>
    </row>
    <row r="904" ht="15.75" customHeight="1">
      <c r="A904" s="3"/>
      <c r="B904" s="3"/>
      <c r="N904" s="3"/>
    </row>
    <row r="905" ht="15.75" customHeight="1">
      <c r="A905" s="3"/>
      <c r="B905" s="3"/>
      <c r="N905" s="3"/>
    </row>
    <row r="906" ht="15.75" customHeight="1">
      <c r="A906" s="3"/>
      <c r="B906" s="3"/>
      <c r="N906" s="3"/>
    </row>
    <row r="907" ht="15.75" customHeight="1">
      <c r="A907" s="3"/>
      <c r="B907" s="3"/>
      <c r="N907" s="3"/>
    </row>
    <row r="908" ht="15.75" customHeight="1">
      <c r="A908" s="3"/>
      <c r="B908" s="3"/>
      <c r="N908" s="3"/>
    </row>
    <row r="909" ht="15.75" customHeight="1">
      <c r="A909" s="3"/>
      <c r="B909" s="3"/>
      <c r="N909" s="3"/>
    </row>
    <row r="910" ht="15.75" customHeight="1">
      <c r="A910" s="3"/>
      <c r="B910" s="3"/>
      <c r="N910" s="3"/>
    </row>
    <row r="911" ht="15.75" customHeight="1">
      <c r="A911" s="3"/>
      <c r="B911" s="3"/>
      <c r="N911" s="3"/>
    </row>
    <row r="912" ht="15.75" customHeight="1">
      <c r="A912" s="3"/>
      <c r="B912" s="3"/>
      <c r="N912" s="3"/>
    </row>
    <row r="913" ht="15.75" customHeight="1">
      <c r="A913" s="3"/>
      <c r="B913" s="3"/>
      <c r="N913" s="3"/>
    </row>
    <row r="914" ht="15.75" customHeight="1">
      <c r="A914" s="3"/>
      <c r="B914" s="3"/>
      <c r="N914" s="3"/>
    </row>
    <row r="915" ht="15.75" customHeight="1">
      <c r="A915" s="3"/>
      <c r="B915" s="3"/>
      <c r="N915" s="3"/>
    </row>
    <row r="916" ht="15.75" customHeight="1">
      <c r="A916" s="3"/>
      <c r="B916" s="3"/>
      <c r="N916" s="3"/>
    </row>
    <row r="917" ht="15.75" customHeight="1">
      <c r="A917" s="3"/>
      <c r="B917" s="3"/>
      <c r="N917" s="3"/>
    </row>
    <row r="918" ht="15.75" customHeight="1">
      <c r="A918" s="3"/>
      <c r="B918" s="3"/>
      <c r="N918" s="3"/>
    </row>
    <row r="919" ht="15.75" customHeight="1">
      <c r="A919" s="3"/>
      <c r="B919" s="3"/>
      <c r="N919" s="3"/>
    </row>
    <row r="920" ht="15.75" customHeight="1">
      <c r="A920" s="3"/>
      <c r="B920" s="3"/>
      <c r="N920" s="3"/>
    </row>
    <row r="921" ht="15.75" customHeight="1">
      <c r="A921" s="3"/>
      <c r="B921" s="3"/>
      <c r="N921" s="3"/>
    </row>
    <row r="922" ht="15.75" customHeight="1">
      <c r="A922" s="3"/>
      <c r="B922" s="3"/>
      <c r="N922" s="3"/>
    </row>
    <row r="923" ht="15.75" customHeight="1">
      <c r="A923" s="3"/>
      <c r="B923" s="3"/>
      <c r="N923" s="3"/>
    </row>
    <row r="924" ht="15.75" customHeight="1">
      <c r="A924" s="3"/>
      <c r="B924" s="3"/>
      <c r="N924" s="3"/>
    </row>
    <row r="925" ht="15.75" customHeight="1">
      <c r="A925" s="3"/>
      <c r="B925" s="3"/>
      <c r="N925" s="3"/>
    </row>
    <row r="926" ht="15.75" customHeight="1">
      <c r="A926" s="3"/>
      <c r="B926" s="3"/>
      <c r="N926" s="3"/>
    </row>
    <row r="927" ht="15.75" customHeight="1">
      <c r="A927" s="3"/>
      <c r="B927" s="3"/>
      <c r="N927" s="3"/>
    </row>
    <row r="928" ht="15.75" customHeight="1">
      <c r="A928" s="3"/>
      <c r="B928" s="3"/>
      <c r="N928" s="3"/>
    </row>
    <row r="929" ht="15.75" customHeight="1">
      <c r="A929" s="3"/>
      <c r="B929" s="3"/>
      <c r="N929" s="3"/>
    </row>
    <row r="930" ht="15.75" customHeight="1">
      <c r="A930" s="3"/>
      <c r="B930" s="3"/>
      <c r="N930" s="3"/>
    </row>
    <row r="931" ht="15.75" customHeight="1">
      <c r="A931" s="3"/>
      <c r="B931" s="3"/>
      <c r="N931" s="3"/>
    </row>
    <row r="932" ht="15.75" customHeight="1">
      <c r="A932" s="3"/>
      <c r="B932" s="3"/>
      <c r="N932" s="3"/>
    </row>
    <row r="933" ht="15.75" customHeight="1">
      <c r="A933" s="3"/>
      <c r="B933" s="3"/>
      <c r="N933" s="3"/>
    </row>
    <row r="934" ht="15.75" customHeight="1">
      <c r="A934" s="3"/>
      <c r="B934" s="3"/>
      <c r="N934" s="3"/>
    </row>
    <row r="935" ht="15.75" customHeight="1">
      <c r="A935" s="3"/>
      <c r="B935" s="3"/>
      <c r="N935" s="3"/>
    </row>
    <row r="936" ht="15.75" customHeight="1">
      <c r="A936" s="3"/>
      <c r="B936" s="3"/>
      <c r="N936" s="3"/>
    </row>
    <row r="937" ht="15.75" customHeight="1">
      <c r="A937" s="3"/>
      <c r="B937" s="3"/>
      <c r="N937" s="3"/>
    </row>
    <row r="938" ht="15.75" customHeight="1">
      <c r="A938" s="3"/>
      <c r="B938" s="3"/>
      <c r="N938" s="3"/>
    </row>
    <row r="939" ht="15.75" customHeight="1">
      <c r="A939" s="3"/>
      <c r="B939" s="3"/>
      <c r="N939" s="3"/>
    </row>
    <row r="940" ht="15.75" customHeight="1">
      <c r="A940" s="3"/>
      <c r="B940" s="3"/>
      <c r="N940" s="3"/>
    </row>
    <row r="941" ht="15.75" customHeight="1">
      <c r="A941" s="3"/>
      <c r="B941" s="3"/>
      <c r="N941" s="3"/>
    </row>
    <row r="942" ht="15.75" customHeight="1">
      <c r="A942" s="3"/>
      <c r="B942" s="3"/>
      <c r="N942" s="3"/>
    </row>
    <row r="943" ht="15.75" customHeight="1">
      <c r="A943" s="3"/>
      <c r="B943" s="3"/>
      <c r="N943" s="3"/>
    </row>
    <row r="944" ht="15.75" customHeight="1">
      <c r="A944" s="3"/>
      <c r="B944" s="3"/>
      <c r="N944" s="3"/>
    </row>
    <row r="945" ht="15.75" customHeight="1">
      <c r="A945" s="3"/>
      <c r="B945" s="3"/>
      <c r="N945" s="3"/>
    </row>
    <row r="946" ht="15.75" customHeight="1">
      <c r="A946" s="3"/>
      <c r="B946" s="3"/>
      <c r="N946" s="3"/>
    </row>
    <row r="947" ht="15.75" customHeight="1">
      <c r="A947" s="3"/>
      <c r="B947" s="3"/>
      <c r="N947" s="3"/>
    </row>
    <row r="948" ht="15.75" customHeight="1">
      <c r="A948" s="3"/>
      <c r="B948" s="3"/>
      <c r="N948" s="3"/>
    </row>
    <row r="949" ht="15.75" customHeight="1">
      <c r="A949" s="3"/>
      <c r="B949" s="3"/>
      <c r="N949" s="3"/>
    </row>
    <row r="950" ht="15.75" customHeight="1">
      <c r="A950" s="3"/>
      <c r="B950" s="3"/>
      <c r="N950" s="3"/>
    </row>
    <row r="951" ht="15.75" customHeight="1">
      <c r="A951" s="3"/>
      <c r="B951" s="3"/>
      <c r="N951" s="3"/>
    </row>
    <row r="952" ht="15.75" customHeight="1">
      <c r="A952" s="3"/>
      <c r="B952" s="3"/>
      <c r="N952" s="3"/>
    </row>
    <row r="953" ht="15.75" customHeight="1">
      <c r="A953" s="3"/>
      <c r="B953" s="3"/>
      <c r="N953" s="3"/>
    </row>
    <row r="954" ht="15.75" customHeight="1">
      <c r="A954" s="3"/>
      <c r="B954" s="3"/>
      <c r="N954" s="3"/>
    </row>
    <row r="955" ht="15.75" customHeight="1">
      <c r="A955" s="3"/>
      <c r="B955" s="3"/>
      <c r="N955" s="3"/>
    </row>
    <row r="956" ht="15.75" customHeight="1">
      <c r="A956" s="3"/>
      <c r="B956" s="3"/>
      <c r="N956" s="3"/>
    </row>
    <row r="957" ht="15.75" customHeight="1">
      <c r="A957" s="3"/>
      <c r="B957" s="3"/>
      <c r="N957" s="3"/>
    </row>
    <row r="958" ht="15.75" customHeight="1">
      <c r="A958" s="3"/>
      <c r="B958" s="3"/>
      <c r="N958" s="3"/>
    </row>
    <row r="959" ht="15.75" customHeight="1">
      <c r="A959" s="3"/>
      <c r="B959" s="3"/>
      <c r="N959" s="3"/>
    </row>
    <row r="960" ht="15.75" customHeight="1">
      <c r="A960" s="3"/>
      <c r="B960" s="3"/>
      <c r="N960" s="3"/>
    </row>
    <row r="961" ht="15.75" customHeight="1">
      <c r="A961" s="3"/>
      <c r="B961" s="3"/>
      <c r="N961" s="3"/>
    </row>
    <row r="962" ht="15.75" customHeight="1">
      <c r="A962" s="3"/>
      <c r="B962" s="3"/>
      <c r="N962" s="3"/>
    </row>
    <row r="963" ht="15.75" customHeight="1">
      <c r="A963" s="3"/>
      <c r="B963" s="3"/>
      <c r="N963" s="3"/>
    </row>
    <row r="964" ht="15.75" customHeight="1">
      <c r="A964" s="3"/>
      <c r="B964" s="3"/>
      <c r="N964" s="3"/>
    </row>
    <row r="965" ht="15.75" customHeight="1">
      <c r="A965" s="3"/>
      <c r="B965" s="3"/>
      <c r="N965" s="3"/>
    </row>
    <row r="966" ht="15.75" customHeight="1">
      <c r="A966" s="3"/>
      <c r="B966" s="3"/>
      <c r="N966" s="3"/>
    </row>
    <row r="967" ht="15.75" customHeight="1">
      <c r="A967" s="3"/>
      <c r="B967" s="3"/>
      <c r="N967" s="3"/>
    </row>
    <row r="968" ht="15.75" customHeight="1">
      <c r="A968" s="3"/>
      <c r="B968" s="3"/>
      <c r="N968" s="3"/>
    </row>
    <row r="969" ht="15.75" customHeight="1">
      <c r="A969" s="3"/>
      <c r="B969" s="3"/>
      <c r="N969" s="3"/>
    </row>
    <row r="970" ht="15.75" customHeight="1">
      <c r="A970" s="3"/>
      <c r="B970" s="3"/>
      <c r="N970" s="3"/>
    </row>
    <row r="971" ht="15.75" customHeight="1">
      <c r="A971" s="3"/>
      <c r="B971" s="3"/>
      <c r="N971" s="3"/>
    </row>
    <row r="972" ht="15.75" customHeight="1">
      <c r="A972" s="3"/>
      <c r="B972" s="3"/>
      <c r="N972" s="3"/>
    </row>
    <row r="973" ht="15.75" customHeight="1">
      <c r="A973" s="3"/>
      <c r="B973" s="3"/>
      <c r="N973" s="3"/>
    </row>
    <row r="974" ht="15.75" customHeight="1">
      <c r="A974" s="3"/>
      <c r="B974" s="3"/>
      <c r="N974" s="3"/>
    </row>
    <row r="975" ht="15.75" customHeight="1">
      <c r="A975" s="3"/>
      <c r="B975" s="3"/>
      <c r="N975" s="3"/>
    </row>
    <row r="976" ht="15.75" customHeight="1">
      <c r="A976" s="3"/>
      <c r="B976" s="3"/>
      <c r="N976" s="3"/>
    </row>
    <row r="977" ht="15.75" customHeight="1">
      <c r="A977" s="3"/>
      <c r="B977" s="3"/>
      <c r="N977" s="3"/>
    </row>
    <row r="978" ht="15.75" customHeight="1">
      <c r="A978" s="3"/>
      <c r="B978" s="3"/>
      <c r="N978" s="3"/>
    </row>
    <row r="979" ht="15.75" customHeight="1">
      <c r="A979" s="3"/>
      <c r="B979" s="3"/>
      <c r="N979" s="3"/>
    </row>
    <row r="980" ht="15.75" customHeight="1">
      <c r="A980" s="3"/>
      <c r="B980" s="3"/>
      <c r="N980" s="3"/>
    </row>
    <row r="981" ht="15.75" customHeight="1">
      <c r="A981" s="3"/>
      <c r="B981" s="3"/>
      <c r="N981" s="3"/>
    </row>
    <row r="982" ht="15.75" customHeight="1">
      <c r="A982" s="3"/>
      <c r="B982" s="3"/>
      <c r="N982" s="3"/>
    </row>
    <row r="983" ht="15.75" customHeight="1">
      <c r="A983" s="3"/>
      <c r="B983" s="3"/>
      <c r="N983" s="3"/>
    </row>
    <row r="984" ht="15.75" customHeight="1">
      <c r="A984" s="3"/>
      <c r="B984" s="3"/>
      <c r="N984" s="3"/>
    </row>
    <row r="985" ht="15.75" customHeight="1">
      <c r="A985" s="3"/>
      <c r="B985" s="3"/>
      <c r="N985" s="3"/>
    </row>
    <row r="986" ht="15.75" customHeight="1">
      <c r="A986" s="3"/>
      <c r="B986" s="3"/>
      <c r="N986" s="3"/>
    </row>
    <row r="987" ht="15.75" customHeight="1">
      <c r="A987" s="3"/>
      <c r="B987" s="3"/>
      <c r="N987" s="3"/>
    </row>
    <row r="988" ht="15.75" customHeight="1">
      <c r="A988" s="3"/>
      <c r="B988" s="3"/>
      <c r="N988" s="3"/>
    </row>
    <row r="989" ht="15.75" customHeight="1">
      <c r="A989" s="3"/>
      <c r="B989" s="3"/>
      <c r="N989" s="3"/>
    </row>
    <row r="990" ht="15.75" customHeight="1">
      <c r="A990" s="3"/>
      <c r="B990" s="3"/>
      <c r="N990" s="3"/>
    </row>
    <row r="991" ht="15.75" customHeight="1">
      <c r="A991" s="3"/>
      <c r="B991" s="3"/>
      <c r="N991" s="3"/>
    </row>
    <row r="992" ht="15.75" customHeight="1">
      <c r="A992" s="3"/>
      <c r="B992" s="3"/>
      <c r="N992" s="3"/>
    </row>
    <row r="993" ht="15.75" customHeight="1">
      <c r="A993" s="3"/>
      <c r="B993" s="3"/>
      <c r="N993" s="3"/>
    </row>
    <row r="994" ht="15.75" customHeight="1">
      <c r="A994" s="3"/>
      <c r="B994" s="3"/>
      <c r="N994" s="3"/>
    </row>
    <row r="995" ht="15.75" customHeight="1">
      <c r="A995" s="3"/>
      <c r="B995" s="3"/>
      <c r="N995" s="3"/>
    </row>
    <row r="996" ht="15.75" customHeight="1">
      <c r="A996" s="3"/>
      <c r="B996" s="3"/>
      <c r="N996" s="3"/>
    </row>
    <row r="997" ht="15.75" customHeight="1">
      <c r="A997" s="3"/>
      <c r="B997" s="3"/>
      <c r="N997" s="3"/>
    </row>
    <row r="998" ht="15.75" customHeight="1">
      <c r="A998" s="3"/>
      <c r="B998" s="3"/>
      <c r="N998" s="3"/>
    </row>
    <row r="999" ht="15.75" customHeight="1">
      <c r="A999" s="3"/>
      <c r="B999" s="3"/>
      <c r="N999" s="3"/>
    </row>
    <row r="1000" ht="15.75" customHeight="1">
      <c r="A1000" s="3"/>
      <c r="B1000" s="3"/>
      <c r="N1000" s="3"/>
    </row>
    <row r="1001" ht="15.75" customHeight="1">
      <c r="A1001" s="3"/>
      <c r="B1001" s="3"/>
      <c r="N1001" s="3"/>
    </row>
    <row r="1002" ht="15.75" customHeight="1">
      <c r="A1002" s="3"/>
      <c r="B1002" s="3"/>
      <c r="N1002" s="3"/>
    </row>
    <row r="1003" ht="15.75" customHeight="1">
      <c r="A1003" s="3"/>
      <c r="B1003" s="3"/>
      <c r="N1003" s="3"/>
    </row>
    <row r="1004" ht="15.75" customHeight="1">
      <c r="A1004" s="3"/>
      <c r="B1004" s="3"/>
      <c r="N1004" s="3"/>
    </row>
    <row r="1005" ht="15.75" customHeight="1">
      <c r="A1005" s="3"/>
      <c r="B1005" s="3"/>
      <c r="N1005" s="3"/>
    </row>
    <row r="1006" ht="15.75" customHeight="1">
      <c r="A1006" s="3"/>
      <c r="B1006" s="3"/>
      <c r="N1006" s="3"/>
    </row>
    <row r="1007" ht="15.75" customHeight="1">
      <c r="A1007" s="3"/>
      <c r="B1007" s="3"/>
      <c r="N1007" s="3"/>
    </row>
    <row r="1008" ht="15.75" customHeight="1">
      <c r="A1008" s="3"/>
      <c r="B1008" s="3"/>
      <c r="N1008" s="3"/>
    </row>
    <row r="1009" ht="15.75" customHeight="1">
      <c r="A1009" s="3"/>
      <c r="B1009" s="3"/>
      <c r="N1009" s="3"/>
    </row>
    <row r="1010" ht="15.75" customHeight="1">
      <c r="A1010" s="3"/>
      <c r="B1010" s="3"/>
      <c r="N1010" s="3"/>
    </row>
    <row r="1011" ht="15.75" customHeight="1">
      <c r="A1011" s="3"/>
      <c r="B1011" s="3"/>
      <c r="N1011" s="3"/>
    </row>
    <row r="1012" ht="15.75" customHeight="1">
      <c r="A1012" s="3"/>
      <c r="B1012" s="3"/>
      <c r="N1012" s="3"/>
    </row>
    <row r="1013" ht="15.75" customHeight="1">
      <c r="A1013" s="3"/>
      <c r="B1013" s="3"/>
      <c r="N1013" s="3"/>
    </row>
    <row r="1014" ht="15.75" customHeight="1">
      <c r="A1014" s="3"/>
      <c r="B1014" s="3"/>
      <c r="N1014" s="3"/>
    </row>
    <row r="1015" ht="15.75" customHeight="1">
      <c r="A1015" s="3"/>
      <c r="B1015" s="3"/>
      <c r="N1015" s="3"/>
    </row>
    <row r="1016" ht="15.75" customHeight="1">
      <c r="A1016" s="3"/>
      <c r="B1016" s="3"/>
      <c r="N1016" s="3"/>
    </row>
    <row r="1017" ht="15.75" customHeight="1">
      <c r="A1017" s="3"/>
      <c r="B1017" s="3"/>
      <c r="N1017" s="3"/>
    </row>
    <row r="1018" ht="15.75" customHeight="1">
      <c r="A1018" s="3"/>
      <c r="B1018" s="3"/>
      <c r="N1018" s="3"/>
    </row>
    <row r="1019" ht="15.75" customHeight="1">
      <c r="A1019" s="3"/>
      <c r="B1019" s="3"/>
      <c r="N1019" s="3"/>
    </row>
    <row r="1020" ht="15.75" customHeight="1">
      <c r="A1020" s="3"/>
      <c r="B1020" s="3"/>
      <c r="N1020" s="3"/>
    </row>
    <row r="1021" ht="15.75" customHeight="1">
      <c r="A1021" s="3"/>
      <c r="B1021" s="3"/>
      <c r="N1021" s="3"/>
    </row>
    <row r="1022" ht="15.75" customHeight="1">
      <c r="A1022" s="3"/>
      <c r="B1022" s="3"/>
      <c r="N1022" s="3"/>
    </row>
    <row r="1023" ht="15.75" customHeight="1">
      <c r="A1023" s="3"/>
      <c r="B1023" s="3"/>
      <c r="N1023" s="3"/>
    </row>
    <row r="1024" ht="15.75" customHeight="1">
      <c r="A1024" s="3"/>
      <c r="B1024" s="3"/>
      <c r="N1024" s="3"/>
    </row>
    <row r="1025" ht="15.75" customHeight="1">
      <c r="A1025" s="3"/>
      <c r="B1025" s="3"/>
      <c r="N1025" s="3"/>
    </row>
    <row r="1026" ht="15.75" customHeight="1">
      <c r="A1026" s="3"/>
      <c r="B1026" s="3"/>
      <c r="N1026" s="3"/>
    </row>
    <row r="1027" ht="15.75" customHeight="1">
      <c r="A1027" s="3"/>
      <c r="B1027" s="3"/>
      <c r="N1027" s="3"/>
    </row>
    <row r="1028" ht="15.75" customHeight="1">
      <c r="A1028" s="3"/>
      <c r="B1028" s="3"/>
      <c r="N1028" s="3"/>
    </row>
    <row r="1029" ht="15.75" customHeight="1">
      <c r="A1029" s="3"/>
      <c r="B1029" s="3"/>
      <c r="N1029" s="3"/>
    </row>
    <row r="1030" ht="15.75" customHeight="1">
      <c r="A1030" s="3"/>
      <c r="B1030" s="3"/>
      <c r="N1030" s="3"/>
    </row>
    <row r="1031" ht="15.75" customHeight="1">
      <c r="A1031" s="3"/>
      <c r="B1031" s="3"/>
      <c r="N1031" s="3"/>
    </row>
    <row r="1032" ht="15.75" customHeight="1">
      <c r="A1032" s="3"/>
      <c r="B1032" s="3"/>
      <c r="N1032" s="3"/>
    </row>
    <row r="1033" ht="15.75" customHeight="1">
      <c r="A1033" s="3"/>
      <c r="B1033" s="3"/>
      <c r="N1033" s="3"/>
    </row>
    <row r="1034" ht="15.75" customHeight="1">
      <c r="A1034" s="3"/>
      <c r="B1034" s="3"/>
      <c r="N1034" s="3"/>
    </row>
    <row r="1035" ht="15.75" customHeight="1">
      <c r="A1035" s="3"/>
      <c r="B1035" s="3"/>
      <c r="N1035" s="3"/>
    </row>
    <row r="1036" ht="15.75" customHeight="1">
      <c r="A1036" s="3"/>
      <c r="B1036" s="3"/>
      <c r="N1036" s="3"/>
    </row>
    <row r="1037" ht="15.75" customHeight="1">
      <c r="A1037" s="3"/>
      <c r="B1037" s="3"/>
      <c r="N1037" s="3"/>
    </row>
    <row r="1038" ht="15.75" customHeight="1">
      <c r="A1038" s="3"/>
      <c r="B1038" s="3"/>
      <c r="N1038" s="3"/>
    </row>
    <row r="1039" ht="15.75" customHeight="1">
      <c r="A1039" s="3"/>
      <c r="B1039" s="3"/>
      <c r="N1039" s="3"/>
    </row>
    <row r="1040" ht="15.75" customHeight="1">
      <c r="A1040" s="3"/>
      <c r="B1040" s="3"/>
      <c r="N1040" s="3"/>
    </row>
    <row r="1041" ht="15.75" customHeight="1">
      <c r="A1041" s="3"/>
      <c r="B1041" s="3"/>
      <c r="N1041" s="3"/>
    </row>
    <row r="1042" ht="15.75" customHeight="1">
      <c r="A1042" s="3"/>
      <c r="B1042" s="3"/>
      <c r="N1042" s="3"/>
    </row>
    <row r="1043" ht="15.75" customHeight="1">
      <c r="A1043" s="3"/>
      <c r="B1043" s="3"/>
      <c r="N1043" s="3"/>
    </row>
    <row r="1044" ht="15.75" customHeight="1">
      <c r="A1044" s="3"/>
      <c r="B1044" s="3"/>
      <c r="N1044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0"/>
  </cols>
  <sheetData>
    <row r="1">
      <c r="A1" s="25" t="s">
        <v>13</v>
      </c>
      <c r="B1" s="15" t="s">
        <v>102</v>
      </c>
    </row>
    <row r="2">
      <c r="A2" s="25" t="s">
        <v>81</v>
      </c>
      <c r="B2" s="15">
        <v>10.0</v>
      </c>
      <c r="C2" s="9" t="s">
        <v>103</v>
      </c>
      <c r="D2" s="9" t="s">
        <v>104</v>
      </c>
    </row>
    <row r="3">
      <c r="A3" s="25" t="s">
        <v>105</v>
      </c>
      <c r="B3" s="15">
        <v>10.0</v>
      </c>
    </row>
    <row r="4">
      <c r="A4" s="25" t="s">
        <v>17</v>
      </c>
      <c r="B4" s="15">
        <v>15.0</v>
      </c>
    </row>
    <row r="5">
      <c r="A5" s="25" t="s">
        <v>91</v>
      </c>
      <c r="B5" s="15">
        <v>10.0</v>
      </c>
    </row>
    <row r="6">
      <c r="A6" s="25" t="s">
        <v>19</v>
      </c>
      <c r="B6" s="15">
        <v>16.0</v>
      </c>
    </row>
    <row r="7">
      <c r="A7" s="25" t="s">
        <v>21</v>
      </c>
      <c r="B7" s="15">
        <v>10.0</v>
      </c>
    </row>
    <row r="8">
      <c r="A8" s="25" t="s">
        <v>23</v>
      </c>
      <c r="B8" s="15">
        <v>12.0</v>
      </c>
    </row>
    <row r="9">
      <c r="A9" s="25" t="s">
        <v>25</v>
      </c>
      <c r="B9" s="15">
        <v>13.0</v>
      </c>
    </row>
    <row r="10">
      <c r="A10" s="25" t="s">
        <v>27</v>
      </c>
      <c r="B10" s="15">
        <v>12.0</v>
      </c>
    </row>
    <row r="11">
      <c r="A11" s="25" t="s">
        <v>29</v>
      </c>
      <c r="B11" s="15">
        <v>15.0</v>
      </c>
    </row>
    <row r="12">
      <c r="A12" s="25" t="s">
        <v>31</v>
      </c>
      <c r="B12" s="15">
        <v>11.0</v>
      </c>
    </row>
    <row r="13">
      <c r="A13" s="25" t="s">
        <v>33</v>
      </c>
      <c r="B13" s="15">
        <v>14.0</v>
      </c>
    </row>
    <row r="14">
      <c r="A14" s="25" t="s">
        <v>35</v>
      </c>
      <c r="B14" s="15">
        <v>14.0</v>
      </c>
    </row>
    <row r="15">
      <c r="A15" s="25" t="s">
        <v>37</v>
      </c>
      <c r="B15" s="15">
        <v>13.0</v>
      </c>
    </row>
    <row r="16">
      <c r="A16" s="25" t="s">
        <v>39</v>
      </c>
      <c r="B16" s="15">
        <v>12.0</v>
      </c>
    </row>
    <row r="17">
      <c r="A17" s="26" t="s">
        <v>99</v>
      </c>
      <c r="B17" s="27">
        <v>5.0</v>
      </c>
      <c r="C17" s="28" t="s">
        <v>106</v>
      </c>
    </row>
    <row r="18">
      <c r="A18" s="25" t="s">
        <v>41</v>
      </c>
      <c r="B18" s="15">
        <v>12.0</v>
      </c>
    </row>
    <row r="19">
      <c r="A19" s="25" t="s">
        <v>43</v>
      </c>
      <c r="B19" s="15">
        <v>10.0</v>
      </c>
    </row>
    <row r="20">
      <c r="A20" s="25" t="s">
        <v>83</v>
      </c>
      <c r="B20" s="15" t="s">
        <v>107</v>
      </c>
    </row>
    <row r="21">
      <c r="A21" s="25" t="s">
        <v>45</v>
      </c>
      <c r="B21" s="15">
        <v>10.0</v>
      </c>
    </row>
    <row r="22">
      <c r="A22" s="25" t="s">
        <v>47</v>
      </c>
      <c r="B22" s="15">
        <v>13.0</v>
      </c>
    </row>
    <row r="23">
      <c r="A23" s="25" t="s">
        <v>95</v>
      </c>
      <c r="B23" s="15" t="s">
        <v>107</v>
      </c>
    </row>
    <row r="24">
      <c r="A24" s="29" t="s">
        <v>49</v>
      </c>
      <c r="B24" s="30">
        <v>6.0</v>
      </c>
      <c r="C24" s="9" t="s">
        <v>103</v>
      </c>
      <c r="D24" s="9" t="s">
        <v>104</v>
      </c>
    </row>
    <row r="25">
      <c r="A25" s="25" t="s">
        <v>51</v>
      </c>
      <c r="B25" s="15">
        <v>10.0</v>
      </c>
    </row>
    <row r="26">
      <c r="A26" s="29" t="s">
        <v>53</v>
      </c>
      <c r="B26" s="30">
        <v>7.0</v>
      </c>
      <c r="C26" s="9" t="s">
        <v>103</v>
      </c>
      <c r="D26" s="9" t="s">
        <v>104</v>
      </c>
    </row>
    <row r="27">
      <c r="A27" s="25" t="s">
        <v>97</v>
      </c>
      <c r="B27" s="15" t="s">
        <v>107</v>
      </c>
    </row>
    <row r="28">
      <c r="A28" s="25" t="s">
        <v>93</v>
      </c>
      <c r="B28" s="15">
        <v>10.0</v>
      </c>
    </row>
    <row r="29">
      <c r="A29" s="31" t="s">
        <v>101</v>
      </c>
      <c r="B29" s="32">
        <v>4.0</v>
      </c>
      <c r="C29" s="33" t="s">
        <v>106</v>
      </c>
    </row>
    <row r="30">
      <c r="A30" s="25" t="s">
        <v>55</v>
      </c>
      <c r="B30" s="15">
        <v>10.0</v>
      </c>
    </row>
    <row r="31">
      <c r="A31" s="26" t="s">
        <v>57</v>
      </c>
      <c r="B31" s="27">
        <v>5.0</v>
      </c>
      <c r="C31" s="28" t="s">
        <v>106</v>
      </c>
    </row>
    <row r="32">
      <c r="A32" s="25" t="s">
        <v>59</v>
      </c>
      <c r="B32" s="15">
        <v>12.0</v>
      </c>
    </row>
    <row r="33">
      <c r="A33" s="25" t="s">
        <v>85</v>
      </c>
      <c r="B33" s="15" t="s">
        <v>107</v>
      </c>
    </row>
    <row r="34">
      <c r="A34" s="25" t="s">
        <v>108</v>
      </c>
      <c r="B34" s="15" t="s">
        <v>107</v>
      </c>
    </row>
    <row r="35">
      <c r="A35" s="25" t="s">
        <v>61</v>
      </c>
      <c r="B35" s="15">
        <v>14.0</v>
      </c>
    </row>
    <row r="36">
      <c r="A36" s="25" t="s">
        <v>63</v>
      </c>
      <c r="B36" s="15">
        <v>14.0</v>
      </c>
    </row>
    <row r="37">
      <c r="A37" s="25" t="s">
        <v>87</v>
      </c>
      <c r="B37" s="15" t="s">
        <v>107</v>
      </c>
    </row>
    <row r="38">
      <c r="A38" s="29" t="s">
        <v>65</v>
      </c>
      <c r="B38" s="27">
        <v>4.0</v>
      </c>
      <c r="C38" s="28" t="s">
        <v>106</v>
      </c>
    </row>
    <row r="39">
      <c r="A39" s="25" t="s">
        <v>67</v>
      </c>
      <c r="B39" s="15">
        <v>10.0</v>
      </c>
    </row>
    <row r="40">
      <c r="A40" s="25" t="s">
        <v>69</v>
      </c>
      <c r="B40" s="15">
        <v>13.0</v>
      </c>
    </row>
    <row r="41">
      <c r="A41" s="25" t="s">
        <v>89</v>
      </c>
      <c r="B41" s="15" t="s">
        <v>107</v>
      </c>
    </row>
    <row r="42">
      <c r="A42" s="25" t="s">
        <v>71</v>
      </c>
      <c r="B42" s="15">
        <v>15.0</v>
      </c>
    </row>
    <row r="43">
      <c r="A43" s="29" t="s">
        <v>73</v>
      </c>
      <c r="B43" s="30">
        <v>8.0</v>
      </c>
      <c r="C43" s="9" t="s">
        <v>103</v>
      </c>
      <c r="D43" s="9" t="s">
        <v>104</v>
      </c>
    </row>
    <row r="44">
      <c r="A44" s="25" t="s">
        <v>75</v>
      </c>
      <c r="B44" s="15">
        <v>12.0</v>
      </c>
    </row>
    <row r="45">
      <c r="A45" s="29" t="s">
        <v>77</v>
      </c>
      <c r="B45" s="30">
        <v>6.0</v>
      </c>
      <c r="C45" s="9" t="s">
        <v>103</v>
      </c>
      <c r="D45" s="9" t="s">
        <v>104</v>
      </c>
    </row>
    <row r="46">
      <c r="A46" s="25" t="s">
        <v>79</v>
      </c>
      <c r="B46" s="15">
        <v>13.0</v>
      </c>
    </row>
    <row r="47">
      <c r="B47" s="34"/>
    </row>
    <row r="48">
      <c r="B48" s="34"/>
    </row>
    <row r="49">
      <c r="B49" s="34"/>
    </row>
    <row r="50">
      <c r="B50" s="34"/>
    </row>
    <row r="51">
      <c r="B51" s="34"/>
    </row>
    <row r="52">
      <c r="B52" s="34"/>
    </row>
    <row r="53">
      <c r="B53" s="34"/>
    </row>
    <row r="54">
      <c r="B54" s="34"/>
    </row>
    <row r="55">
      <c r="B55" s="34"/>
    </row>
    <row r="56">
      <c r="B56" s="34"/>
    </row>
    <row r="57">
      <c r="B57" s="34"/>
    </row>
    <row r="58">
      <c r="B58" s="34"/>
    </row>
    <row r="59">
      <c r="B59" s="34"/>
    </row>
    <row r="60">
      <c r="B60" s="34"/>
    </row>
    <row r="61">
      <c r="B61" s="34"/>
    </row>
    <row r="62">
      <c r="B62" s="34"/>
    </row>
    <row r="63">
      <c r="B63" s="34"/>
    </row>
    <row r="64">
      <c r="B64" s="34"/>
    </row>
    <row r="65">
      <c r="B65" s="34"/>
    </row>
    <row r="66">
      <c r="B66" s="34"/>
    </row>
    <row r="67">
      <c r="B67" s="34"/>
    </row>
    <row r="68">
      <c r="B68" s="34"/>
    </row>
    <row r="69">
      <c r="B69" s="34"/>
    </row>
    <row r="70">
      <c r="B70" s="34"/>
    </row>
    <row r="71">
      <c r="B71" s="34"/>
    </row>
    <row r="72">
      <c r="B72" s="34"/>
    </row>
    <row r="73">
      <c r="B73" s="34"/>
    </row>
    <row r="74">
      <c r="B74" s="34"/>
    </row>
    <row r="75">
      <c r="B75" s="34"/>
    </row>
    <row r="76">
      <c r="B76" s="34"/>
    </row>
    <row r="77">
      <c r="B77" s="34"/>
    </row>
    <row r="78">
      <c r="B78" s="34"/>
    </row>
    <row r="79">
      <c r="B79" s="34"/>
    </row>
    <row r="80">
      <c r="B80" s="34"/>
    </row>
    <row r="81">
      <c r="B81" s="34"/>
    </row>
    <row r="82">
      <c r="B82" s="34"/>
    </row>
    <row r="83">
      <c r="B83" s="34"/>
    </row>
    <row r="84">
      <c r="B84" s="34"/>
    </row>
    <row r="85">
      <c r="B85" s="34"/>
    </row>
    <row r="86">
      <c r="B86" s="34"/>
    </row>
    <row r="87">
      <c r="B87" s="34"/>
    </row>
    <row r="88">
      <c r="B88" s="34"/>
    </row>
    <row r="89">
      <c r="B89" s="34"/>
    </row>
    <row r="90">
      <c r="B90" s="34"/>
    </row>
    <row r="91">
      <c r="B91" s="34"/>
    </row>
    <row r="92">
      <c r="B92" s="34"/>
    </row>
    <row r="93">
      <c r="B93" s="34"/>
    </row>
    <row r="94">
      <c r="B94" s="34"/>
    </row>
    <row r="95">
      <c r="B95" s="34"/>
    </row>
    <row r="96">
      <c r="B96" s="34"/>
    </row>
    <row r="97">
      <c r="B97" s="34"/>
    </row>
    <row r="98">
      <c r="B98" s="34"/>
    </row>
    <row r="99">
      <c r="B99" s="34"/>
    </row>
    <row r="100">
      <c r="B100" s="34"/>
    </row>
    <row r="101">
      <c r="B101" s="34"/>
    </row>
    <row r="102">
      <c r="B102" s="34"/>
    </row>
    <row r="103">
      <c r="B103" s="34"/>
    </row>
    <row r="104">
      <c r="B104" s="34"/>
    </row>
    <row r="105">
      <c r="B105" s="34"/>
    </row>
    <row r="106">
      <c r="B106" s="34"/>
    </row>
    <row r="107">
      <c r="B107" s="34"/>
    </row>
    <row r="108">
      <c r="B108" s="34"/>
    </row>
    <row r="109">
      <c r="B109" s="34"/>
    </row>
    <row r="110">
      <c r="B110" s="34"/>
    </row>
    <row r="111">
      <c r="B111" s="34"/>
    </row>
    <row r="112">
      <c r="B112" s="34"/>
    </row>
    <row r="113">
      <c r="B113" s="34"/>
    </row>
    <row r="114">
      <c r="B114" s="34"/>
    </row>
    <row r="115">
      <c r="B115" s="34"/>
    </row>
    <row r="116">
      <c r="B116" s="34"/>
    </row>
    <row r="117">
      <c r="B117" s="34"/>
    </row>
    <row r="118">
      <c r="B118" s="34"/>
    </row>
    <row r="119">
      <c r="B119" s="34"/>
    </row>
    <row r="120">
      <c r="B120" s="34"/>
    </row>
    <row r="121">
      <c r="B121" s="34"/>
    </row>
    <row r="122">
      <c r="B122" s="34"/>
    </row>
    <row r="123">
      <c r="B123" s="34"/>
    </row>
    <row r="124">
      <c r="B124" s="34"/>
    </row>
    <row r="125">
      <c r="B125" s="34"/>
    </row>
    <row r="126">
      <c r="B126" s="34"/>
    </row>
    <row r="127">
      <c r="B127" s="34"/>
    </row>
    <row r="128">
      <c r="B128" s="34"/>
    </row>
    <row r="129">
      <c r="B129" s="34"/>
    </row>
    <row r="130">
      <c r="B130" s="34"/>
    </row>
    <row r="131">
      <c r="B131" s="34"/>
    </row>
    <row r="132">
      <c r="B132" s="34"/>
    </row>
    <row r="133">
      <c r="B133" s="34"/>
    </row>
    <row r="134">
      <c r="B134" s="34"/>
    </row>
    <row r="135">
      <c r="B135" s="34"/>
    </row>
    <row r="136">
      <c r="B136" s="34"/>
    </row>
    <row r="137">
      <c r="B137" s="34"/>
    </row>
    <row r="138">
      <c r="B138" s="34"/>
    </row>
    <row r="139">
      <c r="B139" s="34"/>
    </row>
    <row r="140">
      <c r="B140" s="34"/>
    </row>
    <row r="141">
      <c r="B141" s="34"/>
    </row>
    <row r="142">
      <c r="B142" s="34"/>
    </row>
    <row r="143">
      <c r="B143" s="34"/>
    </row>
    <row r="144">
      <c r="B144" s="34"/>
    </row>
    <row r="145">
      <c r="B145" s="34"/>
    </row>
    <row r="146">
      <c r="B146" s="34"/>
    </row>
    <row r="147">
      <c r="B147" s="34"/>
    </row>
    <row r="148">
      <c r="B148" s="34"/>
    </row>
    <row r="149">
      <c r="B149" s="34"/>
    </row>
    <row r="150">
      <c r="B150" s="34"/>
    </row>
    <row r="151">
      <c r="B151" s="34"/>
    </row>
    <row r="152">
      <c r="B152" s="34"/>
    </row>
    <row r="153">
      <c r="B153" s="34"/>
    </row>
    <row r="154">
      <c r="B154" s="34"/>
    </row>
    <row r="155">
      <c r="B155" s="34"/>
    </row>
    <row r="156">
      <c r="B156" s="34"/>
    </row>
    <row r="157">
      <c r="B157" s="34"/>
    </row>
    <row r="158">
      <c r="B158" s="34"/>
    </row>
    <row r="159">
      <c r="B159" s="34"/>
    </row>
    <row r="160">
      <c r="B160" s="34"/>
    </row>
    <row r="161">
      <c r="B161" s="34"/>
    </row>
    <row r="162">
      <c r="B162" s="34"/>
    </row>
    <row r="163">
      <c r="B163" s="34"/>
    </row>
    <row r="164">
      <c r="B164" s="34"/>
    </row>
    <row r="165">
      <c r="B165" s="34"/>
    </row>
    <row r="166">
      <c r="B166" s="34"/>
    </row>
    <row r="167">
      <c r="B167" s="34"/>
    </row>
    <row r="168">
      <c r="B168" s="34"/>
    </row>
    <row r="169">
      <c r="B169" s="34"/>
    </row>
    <row r="170">
      <c r="B170" s="34"/>
    </row>
    <row r="171">
      <c r="B171" s="34"/>
    </row>
    <row r="172">
      <c r="B172" s="34"/>
    </row>
    <row r="173">
      <c r="B173" s="34"/>
    </row>
    <row r="174">
      <c r="B174" s="34"/>
    </row>
    <row r="175">
      <c r="B175" s="34"/>
    </row>
    <row r="176">
      <c r="B176" s="34"/>
    </row>
    <row r="177">
      <c r="B177" s="34"/>
    </row>
    <row r="178">
      <c r="B178" s="34"/>
    </row>
    <row r="179">
      <c r="B179" s="34"/>
    </row>
    <row r="180">
      <c r="B180" s="34"/>
    </row>
    <row r="181">
      <c r="B181" s="34"/>
    </row>
    <row r="182">
      <c r="B182" s="34"/>
    </row>
    <row r="183">
      <c r="B183" s="34"/>
    </row>
    <row r="184">
      <c r="B184" s="34"/>
    </row>
    <row r="185">
      <c r="B185" s="34"/>
    </row>
    <row r="186">
      <c r="B186" s="34"/>
    </row>
    <row r="187">
      <c r="B187" s="34"/>
    </row>
    <row r="188">
      <c r="B188" s="34"/>
    </row>
    <row r="189">
      <c r="B189" s="34"/>
    </row>
    <row r="190">
      <c r="B190" s="34"/>
    </row>
    <row r="191">
      <c r="B191" s="34"/>
    </row>
    <row r="192">
      <c r="B192" s="34"/>
    </row>
    <row r="193">
      <c r="B193" s="34"/>
    </row>
    <row r="194">
      <c r="B194" s="34"/>
    </row>
    <row r="195">
      <c r="B195" s="34"/>
    </row>
    <row r="196">
      <c r="B196" s="34"/>
    </row>
    <row r="197">
      <c r="B197" s="34"/>
    </row>
    <row r="198">
      <c r="B198" s="34"/>
    </row>
    <row r="199">
      <c r="B199" s="34"/>
    </row>
    <row r="200">
      <c r="B200" s="34"/>
    </row>
    <row r="201">
      <c r="B201" s="34"/>
    </row>
    <row r="202">
      <c r="B202" s="34"/>
    </row>
    <row r="203">
      <c r="B203" s="34"/>
    </row>
    <row r="204">
      <c r="B204" s="34"/>
    </row>
    <row r="205">
      <c r="B205" s="34"/>
    </row>
    <row r="206">
      <c r="B206" s="34"/>
    </row>
    <row r="207">
      <c r="B207" s="34"/>
    </row>
    <row r="208">
      <c r="B208" s="34"/>
    </row>
    <row r="209">
      <c r="B209" s="34"/>
    </row>
    <row r="210">
      <c r="B210" s="34"/>
    </row>
    <row r="211">
      <c r="B211" s="34"/>
    </row>
    <row r="212">
      <c r="B212" s="34"/>
    </row>
    <row r="213">
      <c r="B213" s="34"/>
    </row>
    <row r="214">
      <c r="B214" s="34"/>
    </row>
    <row r="215">
      <c r="B215" s="34"/>
    </row>
    <row r="216">
      <c r="B216" s="34"/>
    </row>
    <row r="217">
      <c r="B217" s="34"/>
    </row>
    <row r="218">
      <c r="B218" s="34"/>
    </row>
    <row r="219">
      <c r="B219" s="34"/>
    </row>
    <row r="220">
      <c r="B220" s="34"/>
    </row>
    <row r="221">
      <c r="B221" s="34"/>
    </row>
    <row r="222">
      <c r="B222" s="34"/>
    </row>
    <row r="223">
      <c r="B223" s="34"/>
    </row>
    <row r="224">
      <c r="B224" s="34"/>
    </row>
    <row r="225">
      <c r="B225" s="34"/>
    </row>
    <row r="226">
      <c r="B226" s="34"/>
    </row>
    <row r="227">
      <c r="B227" s="34"/>
    </row>
    <row r="228">
      <c r="B228" s="34"/>
    </row>
    <row r="229">
      <c r="B229" s="34"/>
    </row>
    <row r="230">
      <c r="B230" s="34"/>
    </row>
    <row r="231">
      <c r="B231" s="34"/>
    </row>
    <row r="232">
      <c r="B232" s="34"/>
    </row>
    <row r="233">
      <c r="B233" s="34"/>
    </row>
    <row r="234">
      <c r="B234" s="34"/>
    </row>
    <row r="235">
      <c r="B235" s="34"/>
    </row>
    <row r="236">
      <c r="B236" s="34"/>
    </row>
    <row r="237">
      <c r="B237" s="34"/>
    </row>
    <row r="238">
      <c r="B238" s="34"/>
    </row>
    <row r="239">
      <c r="B239" s="34"/>
    </row>
    <row r="240">
      <c r="B240" s="34"/>
    </row>
    <row r="241">
      <c r="B241" s="34"/>
    </row>
    <row r="242">
      <c r="B242" s="34"/>
    </row>
    <row r="243">
      <c r="B243" s="34"/>
    </row>
    <row r="244">
      <c r="B244" s="34"/>
    </row>
    <row r="245">
      <c r="B245" s="34"/>
    </row>
    <row r="246">
      <c r="B246" s="34"/>
    </row>
    <row r="247">
      <c r="B247" s="34"/>
    </row>
    <row r="248">
      <c r="B248" s="34"/>
    </row>
    <row r="249">
      <c r="B249" s="34"/>
    </row>
    <row r="250">
      <c r="B250" s="34"/>
    </row>
    <row r="251">
      <c r="B251" s="34"/>
    </row>
    <row r="252">
      <c r="B252" s="34"/>
    </row>
    <row r="253">
      <c r="B253" s="34"/>
    </row>
    <row r="254">
      <c r="B254" s="34"/>
    </row>
    <row r="255">
      <c r="B255" s="34"/>
    </row>
    <row r="256">
      <c r="B256" s="34"/>
    </row>
    <row r="257">
      <c r="B257" s="34"/>
    </row>
    <row r="258">
      <c r="B258" s="34"/>
    </row>
    <row r="259">
      <c r="B259" s="34"/>
    </row>
    <row r="260">
      <c r="B260" s="34"/>
    </row>
    <row r="261">
      <c r="B261" s="34"/>
    </row>
    <row r="262">
      <c r="B262" s="34"/>
    </row>
    <row r="263">
      <c r="B263" s="34"/>
    </row>
    <row r="264">
      <c r="B264" s="34"/>
    </row>
    <row r="265">
      <c r="B265" s="34"/>
    </row>
    <row r="266">
      <c r="B266" s="34"/>
    </row>
    <row r="267">
      <c r="B267" s="34"/>
    </row>
    <row r="268">
      <c r="B268" s="34"/>
    </row>
    <row r="269">
      <c r="B269" s="34"/>
    </row>
    <row r="270">
      <c r="B270" s="34"/>
    </row>
    <row r="271">
      <c r="B271" s="34"/>
    </row>
    <row r="272">
      <c r="B272" s="34"/>
    </row>
    <row r="273">
      <c r="B273" s="34"/>
    </row>
    <row r="274">
      <c r="B274" s="34"/>
    </row>
    <row r="275">
      <c r="B275" s="34"/>
    </row>
    <row r="276">
      <c r="B276" s="34"/>
    </row>
    <row r="277">
      <c r="B277" s="34"/>
    </row>
    <row r="278">
      <c r="B278" s="34"/>
    </row>
    <row r="279">
      <c r="B279" s="34"/>
    </row>
    <row r="280">
      <c r="B280" s="34"/>
    </row>
    <row r="281">
      <c r="B281" s="34"/>
    </row>
    <row r="282">
      <c r="B282" s="34"/>
    </row>
    <row r="283">
      <c r="B283" s="34"/>
    </row>
    <row r="284">
      <c r="B284" s="34"/>
    </row>
    <row r="285">
      <c r="B285" s="34"/>
    </row>
    <row r="286">
      <c r="B286" s="34"/>
    </row>
    <row r="287">
      <c r="B287" s="34"/>
    </row>
    <row r="288">
      <c r="B288" s="34"/>
    </row>
    <row r="289">
      <c r="B289" s="34"/>
    </row>
    <row r="290">
      <c r="B290" s="34"/>
    </row>
    <row r="291">
      <c r="B291" s="34"/>
    </row>
    <row r="292">
      <c r="B292" s="34"/>
    </row>
    <row r="293">
      <c r="B293" s="34"/>
    </row>
    <row r="294">
      <c r="B294" s="34"/>
    </row>
    <row r="295">
      <c r="B295" s="34"/>
    </row>
    <row r="296">
      <c r="B296" s="34"/>
    </row>
    <row r="297">
      <c r="B297" s="34"/>
    </row>
    <row r="298">
      <c r="B298" s="34"/>
    </row>
    <row r="299">
      <c r="B299" s="34"/>
    </row>
    <row r="300">
      <c r="B300" s="34"/>
    </row>
    <row r="301">
      <c r="B301" s="34"/>
    </row>
    <row r="302">
      <c r="B302" s="34"/>
    </row>
    <row r="303">
      <c r="B303" s="34"/>
    </row>
    <row r="304">
      <c r="B304" s="34"/>
    </row>
    <row r="305">
      <c r="B305" s="34"/>
    </row>
    <row r="306">
      <c r="B306" s="34"/>
    </row>
    <row r="307">
      <c r="B307" s="34"/>
    </row>
    <row r="308">
      <c r="B308" s="34"/>
    </row>
    <row r="309">
      <c r="B309" s="34"/>
    </row>
    <row r="310">
      <c r="B310" s="34"/>
    </row>
    <row r="311">
      <c r="B311" s="34"/>
    </row>
    <row r="312">
      <c r="B312" s="34"/>
    </row>
    <row r="313">
      <c r="B313" s="34"/>
    </row>
    <row r="314">
      <c r="B314" s="34"/>
    </row>
    <row r="315">
      <c r="B315" s="34"/>
    </row>
    <row r="316">
      <c r="B316" s="34"/>
    </row>
    <row r="317">
      <c r="B317" s="34"/>
    </row>
    <row r="318">
      <c r="B318" s="34"/>
    </row>
    <row r="319">
      <c r="B319" s="34"/>
    </row>
    <row r="320">
      <c r="B320" s="34"/>
    </row>
    <row r="321">
      <c r="B321" s="34"/>
    </row>
    <row r="322">
      <c r="B322" s="34"/>
    </row>
    <row r="323">
      <c r="B323" s="34"/>
    </row>
    <row r="324">
      <c r="B324" s="34"/>
    </row>
    <row r="325">
      <c r="B325" s="34"/>
    </row>
    <row r="326">
      <c r="B326" s="34"/>
    </row>
    <row r="327">
      <c r="B327" s="34"/>
    </row>
    <row r="328">
      <c r="B328" s="34"/>
    </row>
    <row r="329">
      <c r="B329" s="34"/>
    </row>
    <row r="330">
      <c r="B330" s="34"/>
    </row>
    <row r="331">
      <c r="B331" s="34"/>
    </row>
    <row r="332">
      <c r="B332" s="34"/>
    </row>
    <row r="333">
      <c r="B333" s="34"/>
    </row>
    <row r="334">
      <c r="B334" s="34"/>
    </row>
    <row r="335">
      <c r="B335" s="34"/>
    </row>
    <row r="336">
      <c r="B336" s="34"/>
    </row>
    <row r="337">
      <c r="B337" s="34"/>
    </row>
    <row r="338">
      <c r="B338" s="34"/>
    </row>
    <row r="339">
      <c r="B339" s="34"/>
    </row>
    <row r="340">
      <c r="B340" s="34"/>
    </row>
    <row r="341">
      <c r="B341" s="34"/>
    </row>
    <row r="342">
      <c r="B342" s="34"/>
    </row>
    <row r="343">
      <c r="B343" s="34"/>
    </row>
    <row r="344">
      <c r="B344" s="34"/>
    </row>
    <row r="345">
      <c r="B345" s="34"/>
    </row>
    <row r="346">
      <c r="B346" s="34"/>
    </row>
    <row r="347">
      <c r="B347" s="34"/>
    </row>
    <row r="348">
      <c r="B348" s="34"/>
    </row>
    <row r="349">
      <c r="B349" s="34"/>
    </row>
    <row r="350">
      <c r="B350" s="34"/>
    </row>
    <row r="351">
      <c r="B351" s="34"/>
    </row>
    <row r="352">
      <c r="B352" s="34"/>
    </row>
    <row r="353">
      <c r="B353" s="34"/>
    </row>
    <row r="354">
      <c r="B354" s="34"/>
    </row>
    <row r="355">
      <c r="B355" s="34"/>
    </row>
    <row r="356">
      <c r="B356" s="34"/>
    </row>
    <row r="357">
      <c r="B357" s="34"/>
    </row>
    <row r="358">
      <c r="B358" s="34"/>
    </row>
    <row r="359">
      <c r="B359" s="34"/>
    </row>
    <row r="360">
      <c r="B360" s="34"/>
    </row>
    <row r="361">
      <c r="B361" s="34"/>
    </row>
    <row r="362">
      <c r="B362" s="34"/>
    </row>
    <row r="363">
      <c r="B363" s="34"/>
    </row>
    <row r="364">
      <c r="B364" s="34"/>
    </row>
    <row r="365">
      <c r="B365" s="34"/>
    </row>
    <row r="366">
      <c r="B366" s="34"/>
    </row>
    <row r="367">
      <c r="B367" s="34"/>
    </row>
    <row r="368">
      <c r="B368" s="34"/>
    </row>
    <row r="369">
      <c r="B369" s="34"/>
    </row>
    <row r="370">
      <c r="B370" s="34"/>
    </row>
    <row r="371">
      <c r="B371" s="34"/>
    </row>
    <row r="372">
      <c r="B372" s="34"/>
    </row>
    <row r="373">
      <c r="B373" s="34"/>
    </row>
    <row r="374">
      <c r="B374" s="34"/>
    </row>
    <row r="375">
      <c r="B375" s="34"/>
    </row>
    <row r="376">
      <c r="B376" s="34"/>
    </row>
    <row r="377">
      <c r="B377" s="34"/>
    </row>
    <row r="378">
      <c r="B378" s="34"/>
    </row>
    <row r="379">
      <c r="B379" s="34"/>
    </row>
    <row r="380">
      <c r="B380" s="34"/>
    </row>
    <row r="381">
      <c r="B381" s="34"/>
    </row>
    <row r="382">
      <c r="B382" s="34"/>
    </row>
    <row r="383">
      <c r="B383" s="34"/>
    </row>
    <row r="384">
      <c r="B384" s="34"/>
    </row>
    <row r="385">
      <c r="B385" s="34"/>
    </row>
    <row r="386">
      <c r="B386" s="34"/>
    </row>
    <row r="387">
      <c r="B387" s="34"/>
    </row>
    <row r="388">
      <c r="B388" s="34"/>
    </row>
    <row r="389">
      <c r="B389" s="34"/>
    </row>
    <row r="390">
      <c r="B390" s="34"/>
    </row>
    <row r="391">
      <c r="B391" s="34"/>
    </row>
    <row r="392">
      <c r="B392" s="34"/>
    </row>
    <row r="393">
      <c r="B393" s="34"/>
    </row>
    <row r="394">
      <c r="B394" s="34"/>
    </row>
    <row r="395">
      <c r="B395" s="34"/>
    </row>
    <row r="396">
      <c r="B396" s="34"/>
    </row>
    <row r="397">
      <c r="B397" s="34"/>
    </row>
    <row r="398">
      <c r="B398" s="34"/>
    </row>
    <row r="399">
      <c r="B399" s="34"/>
    </row>
    <row r="400">
      <c r="B400" s="34"/>
    </row>
    <row r="401">
      <c r="B401" s="34"/>
    </row>
    <row r="402">
      <c r="B402" s="34"/>
    </row>
    <row r="403">
      <c r="B403" s="34"/>
    </row>
    <row r="404">
      <c r="B404" s="34"/>
    </row>
    <row r="405">
      <c r="B405" s="34"/>
    </row>
    <row r="406">
      <c r="B406" s="34"/>
    </row>
    <row r="407">
      <c r="B407" s="34"/>
    </row>
    <row r="408">
      <c r="B408" s="34"/>
    </row>
    <row r="409">
      <c r="B409" s="34"/>
    </row>
    <row r="410">
      <c r="B410" s="34"/>
    </row>
    <row r="411">
      <c r="B411" s="34"/>
    </row>
    <row r="412">
      <c r="B412" s="34"/>
    </row>
    <row r="413">
      <c r="B413" s="34"/>
    </row>
    <row r="414">
      <c r="B414" s="34"/>
    </row>
    <row r="415">
      <c r="B415" s="34"/>
    </row>
    <row r="416">
      <c r="B416" s="34"/>
    </row>
    <row r="417">
      <c r="B417" s="34"/>
    </row>
    <row r="418">
      <c r="B418" s="34"/>
    </row>
    <row r="419">
      <c r="B419" s="34"/>
    </row>
    <row r="420">
      <c r="B420" s="34"/>
    </row>
    <row r="421">
      <c r="B421" s="34"/>
    </row>
    <row r="422">
      <c r="B422" s="34"/>
    </row>
    <row r="423">
      <c r="B423" s="34"/>
    </row>
    <row r="424">
      <c r="B424" s="34"/>
    </row>
    <row r="425">
      <c r="B425" s="34"/>
    </row>
    <row r="426">
      <c r="B426" s="34"/>
    </row>
    <row r="427">
      <c r="B427" s="34"/>
    </row>
    <row r="428">
      <c r="B428" s="34"/>
    </row>
    <row r="429">
      <c r="B429" s="34"/>
    </row>
    <row r="430">
      <c r="B430" s="34"/>
    </row>
    <row r="431">
      <c r="B431" s="34"/>
    </row>
    <row r="432">
      <c r="B432" s="34"/>
    </row>
    <row r="433">
      <c r="B433" s="34"/>
    </row>
    <row r="434">
      <c r="B434" s="34"/>
    </row>
    <row r="435">
      <c r="B435" s="34"/>
    </row>
    <row r="436">
      <c r="B436" s="34"/>
    </row>
    <row r="437">
      <c r="B437" s="34"/>
    </row>
    <row r="438">
      <c r="B438" s="34"/>
    </row>
    <row r="439">
      <c r="B439" s="34"/>
    </row>
    <row r="440">
      <c r="B440" s="34"/>
    </row>
    <row r="441">
      <c r="B441" s="34"/>
    </row>
    <row r="442">
      <c r="B442" s="34"/>
    </row>
    <row r="443">
      <c r="B443" s="34"/>
    </row>
    <row r="444">
      <c r="B444" s="34"/>
    </row>
    <row r="445">
      <c r="B445" s="34"/>
    </row>
    <row r="446">
      <c r="B446" s="34"/>
    </row>
    <row r="447">
      <c r="B447" s="34"/>
    </row>
    <row r="448">
      <c r="B448" s="34"/>
    </row>
    <row r="449">
      <c r="B449" s="34"/>
    </row>
    <row r="450">
      <c r="B450" s="34"/>
    </row>
    <row r="451">
      <c r="B451" s="34"/>
    </row>
    <row r="452">
      <c r="B452" s="34"/>
    </row>
    <row r="453">
      <c r="B453" s="34"/>
    </row>
    <row r="454">
      <c r="B454" s="34"/>
    </row>
    <row r="455">
      <c r="B455" s="34"/>
    </row>
    <row r="456">
      <c r="B456" s="34"/>
    </row>
    <row r="457">
      <c r="B457" s="34"/>
    </row>
    <row r="458">
      <c r="B458" s="34"/>
    </row>
    <row r="459">
      <c r="B459" s="34"/>
    </row>
    <row r="460">
      <c r="B460" s="34"/>
    </row>
    <row r="461">
      <c r="B461" s="34"/>
    </row>
    <row r="462">
      <c r="B462" s="34"/>
    </row>
    <row r="463">
      <c r="B463" s="34"/>
    </row>
    <row r="464">
      <c r="B464" s="34"/>
    </row>
    <row r="465">
      <c r="B465" s="34"/>
    </row>
    <row r="466">
      <c r="B466" s="34"/>
    </row>
    <row r="467">
      <c r="B467" s="34"/>
    </row>
    <row r="468">
      <c r="B468" s="34"/>
    </row>
    <row r="469">
      <c r="B469" s="34"/>
    </row>
    <row r="470">
      <c r="B470" s="34"/>
    </row>
    <row r="471">
      <c r="B471" s="34"/>
    </row>
    <row r="472">
      <c r="B472" s="34"/>
    </row>
    <row r="473">
      <c r="B473" s="34"/>
    </row>
    <row r="474">
      <c r="B474" s="34"/>
    </row>
    <row r="475">
      <c r="B475" s="34"/>
    </row>
    <row r="476">
      <c r="B476" s="34"/>
    </row>
    <row r="477">
      <c r="B477" s="34"/>
    </row>
    <row r="478">
      <c r="B478" s="34"/>
    </row>
    <row r="479">
      <c r="B479" s="34"/>
    </row>
    <row r="480">
      <c r="B480" s="34"/>
    </row>
    <row r="481">
      <c r="B481" s="34"/>
    </row>
    <row r="482">
      <c r="B482" s="34"/>
    </row>
    <row r="483">
      <c r="B483" s="34"/>
    </row>
    <row r="484">
      <c r="B484" s="34"/>
    </row>
    <row r="485">
      <c r="B485" s="34"/>
    </row>
    <row r="486">
      <c r="B486" s="34"/>
    </row>
    <row r="487">
      <c r="B487" s="34"/>
    </row>
    <row r="488">
      <c r="B488" s="34"/>
    </row>
    <row r="489">
      <c r="B489" s="34"/>
    </row>
    <row r="490">
      <c r="B490" s="34"/>
    </row>
    <row r="491">
      <c r="B491" s="34"/>
    </row>
    <row r="492">
      <c r="B492" s="34"/>
    </row>
    <row r="493">
      <c r="B493" s="34"/>
    </row>
    <row r="494">
      <c r="B494" s="34"/>
    </row>
    <row r="495">
      <c r="B495" s="34"/>
    </row>
    <row r="496">
      <c r="B496" s="34"/>
    </row>
    <row r="497">
      <c r="B497" s="34"/>
    </row>
    <row r="498">
      <c r="B498" s="34"/>
    </row>
    <row r="499">
      <c r="B499" s="34"/>
    </row>
    <row r="500">
      <c r="B500" s="34"/>
    </row>
    <row r="501">
      <c r="B501" s="34"/>
    </row>
    <row r="502">
      <c r="B502" s="34"/>
    </row>
    <row r="503">
      <c r="B503" s="34"/>
    </row>
    <row r="504">
      <c r="B504" s="34"/>
    </row>
    <row r="505">
      <c r="B505" s="34"/>
    </row>
    <row r="506">
      <c r="B506" s="34"/>
    </row>
    <row r="507">
      <c r="B507" s="34"/>
    </row>
    <row r="508">
      <c r="B508" s="34"/>
    </row>
    <row r="509">
      <c r="B509" s="34"/>
    </row>
    <row r="510">
      <c r="B510" s="34"/>
    </row>
    <row r="511">
      <c r="B511" s="34"/>
    </row>
    <row r="512">
      <c r="B512" s="34"/>
    </row>
    <row r="513">
      <c r="B513" s="34"/>
    </row>
    <row r="514">
      <c r="B514" s="34"/>
    </row>
    <row r="515">
      <c r="B515" s="34"/>
    </row>
    <row r="516">
      <c r="B516" s="34"/>
    </row>
    <row r="517">
      <c r="B517" s="34"/>
    </row>
    <row r="518">
      <c r="B518" s="34"/>
    </row>
    <row r="519">
      <c r="B519" s="34"/>
    </row>
    <row r="520">
      <c r="B520" s="34"/>
    </row>
    <row r="521">
      <c r="B521" s="34"/>
    </row>
    <row r="522">
      <c r="B522" s="34"/>
    </row>
    <row r="523">
      <c r="B523" s="34"/>
    </row>
    <row r="524">
      <c r="B524" s="34"/>
    </row>
    <row r="525">
      <c r="B525" s="34"/>
    </row>
    <row r="526">
      <c r="B526" s="34"/>
    </row>
    <row r="527">
      <c r="B527" s="34"/>
    </row>
    <row r="528">
      <c r="B528" s="34"/>
    </row>
    <row r="529">
      <c r="B529" s="34"/>
    </row>
    <row r="530">
      <c r="B530" s="34"/>
    </row>
    <row r="531">
      <c r="B531" s="34"/>
    </row>
    <row r="532">
      <c r="B532" s="34"/>
    </row>
    <row r="533">
      <c r="B533" s="34"/>
    </row>
    <row r="534">
      <c r="B534" s="34"/>
    </row>
    <row r="535">
      <c r="B535" s="34"/>
    </row>
    <row r="536">
      <c r="B536" s="34"/>
    </row>
    <row r="537">
      <c r="B537" s="34"/>
    </row>
    <row r="538">
      <c r="B538" s="34"/>
    </row>
    <row r="539">
      <c r="B539" s="34"/>
    </row>
    <row r="540">
      <c r="B540" s="34"/>
    </row>
    <row r="541">
      <c r="B541" s="34"/>
    </row>
    <row r="542">
      <c r="B542" s="34"/>
    </row>
    <row r="543">
      <c r="B543" s="34"/>
    </row>
    <row r="544">
      <c r="B544" s="34"/>
    </row>
    <row r="545">
      <c r="B545" s="34"/>
    </row>
    <row r="546">
      <c r="B546" s="34"/>
    </row>
    <row r="547">
      <c r="B547" s="34"/>
    </row>
    <row r="548">
      <c r="B548" s="34"/>
    </row>
    <row r="549">
      <c r="B549" s="34"/>
    </row>
    <row r="550">
      <c r="B550" s="34"/>
    </row>
    <row r="551">
      <c r="B551" s="34"/>
    </row>
    <row r="552">
      <c r="B552" s="34"/>
    </row>
    <row r="553">
      <c r="B553" s="34"/>
    </row>
    <row r="554">
      <c r="B554" s="34"/>
    </row>
    <row r="555">
      <c r="B555" s="34"/>
    </row>
    <row r="556">
      <c r="B556" s="34"/>
    </row>
    <row r="557">
      <c r="B557" s="34"/>
    </row>
    <row r="558">
      <c r="B558" s="34"/>
    </row>
    <row r="559">
      <c r="B559" s="34"/>
    </row>
    <row r="560">
      <c r="B560" s="34"/>
    </row>
    <row r="561">
      <c r="B561" s="34"/>
    </row>
    <row r="562">
      <c r="B562" s="34"/>
    </row>
    <row r="563">
      <c r="B563" s="34"/>
    </row>
    <row r="564">
      <c r="B564" s="34"/>
    </row>
    <row r="565">
      <c r="B565" s="34"/>
    </row>
    <row r="566">
      <c r="B566" s="34"/>
    </row>
    <row r="567">
      <c r="B567" s="34"/>
    </row>
    <row r="568">
      <c r="B568" s="34"/>
    </row>
    <row r="569">
      <c r="B569" s="34"/>
    </row>
    <row r="570">
      <c r="B570" s="34"/>
    </row>
    <row r="571">
      <c r="B571" s="34"/>
    </row>
    <row r="572">
      <c r="B572" s="34"/>
    </row>
    <row r="573">
      <c r="B573" s="34"/>
    </row>
    <row r="574">
      <c r="B574" s="34"/>
    </row>
    <row r="575">
      <c r="B575" s="34"/>
    </row>
    <row r="576">
      <c r="B576" s="34"/>
    </row>
    <row r="577">
      <c r="B577" s="34"/>
    </row>
    <row r="578">
      <c r="B578" s="34"/>
    </row>
    <row r="579">
      <c r="B579" s="34"/>
    </row>
    <row r="580">
      <c r="B580" s="34"/>
    </row>
    <row r="581">
      <c r="B581" s="34"/>
    </row>
    <row r="582">
      <c r="B582" s="34"/>
    </row>
    <row r="583">
      <c r="B583" s="34"/>
    </row>
    <row r="584">
      <c r="B584" s="34"/>
    </row>
    <row r="585">
      <c r="B585" s="34"/>
    </row>
    <row r="586">
      <c r="B586" s="34"/>
    </row>
    <row r="587">
      <c r="B587" s="34"/>
    </row>
    <row r="588">
      <c r="B588" s="34"/>
    </row>
    <row r="589">
      <c r="B589" s="34"/>
    </row>
    <row r="590">
      <c r="B590" s="34"/>
    </row>
    <row r="591">
      <c r="B591" s="34"/>
    </row>
    <row r="592">
      <c r="B592" s="34"/>
    </row>
    <row r="593">
      <c r="B593" s="34"/>
    </row>
    <row r="594">
      <c r="B594" s="34"/>
    </row>
    <row r="595">
      <c r="B595" s="34"/>
    </row>
    <row r="596">
      <c r="B596" s="34"/>
    </row>
    <row r="597">
      <c r="B597" s="34"/>
    </row>
    <row r="598">
      <c r="B598" s="34"/>
    </row>
    <row r="599">
      <c r="B599" s="34"/>
    </row>
    <row r="600">
      <c r="B600" s="34"/>
    </row>
    <row r="601">
      <c r="B601" s="34"/>
    </row>
    <row r="602">
      <c r="B602" s="34"/>
    </row>
    <row r="603">
      <c r="B603" s="34"/>
    </row>
    <row r="604">
      <c r="B604" s="34"/>
    </row>
    <row r="605">
      <c r="B605" s="34"/>
    </row>
    <row r="606">
      <c r="B606" s="34"/>
    </row>
    <row r="607">
      <c r="B607" s="34"/>
    </row>
    <row r="608">
      <c r="B608" s="34"/>
    </row>
    <row r="609">
      <c r="B609" s="34"/>
    </row>
    <row r="610">
      <c r="B610" s="34"/>
    </row>
    <row r="611">
      <c r="B611" s="34"/>
    </row>
    <row r="612">
      <c r="B612" s="34"/>
    </row>
    <row r="613">
      <c r="B613" s="34"/>
    </row>
    <row r="614">
      <c r="B614" s="34"/>
    </row>
    <row r="615">
      <c r="B615" s="34"/>
    </row>
    <row r="616">
      <c r="B616" s="34"/>
    </row>
    <row r="617">
      <c r="B617" s="34"/>
    </row>
    <row r="618">
      <c r="B618" s="34"/>
    </row>
    <row r="619">
      <c r="B619" s="34"/>
    </row>
    <row r="620">
      <c r="B620" s="34"/>
    </row>
    <row r="621">
      <c r="B621" s="34"/>
    </row>
    <row r="622">
      <c r="B622" s="34"/>
    </row>
    <row r="623">
      <c r="B623" s="34"/>
    </row>
    <row r="624">
      <c r="B624" s="34"/>
    </row>
    <row r="625">
      <c r="B625" s="34"/>
    </row>
    <row r="626">
      <c r="B626" s="34"/>
    </row>
    <row r="627">
      <c r="B627" s="34"/>
    </row>
    <row r="628">
      <c r="B628" s="34"/>
    </row>
    <row r="629">
      <c r="B629" s="34"/>
    </row>
    <row r="630">
      <c r="B630" s="34"/>
    </row>
    <row r="631">
      <c r="B631" s="34"/>
    </row>
    <row r="632">
      <c r="B632" s="34"/>
    </row>
    <row r="633">
      <c r="B633" s="34"/>
    </row>
    <row r="634">
      <c r="B634" s="34"/>
    </row>
    <row r="635">
      <c r="B635" s="34"/>
    </row>
    <row r="636">
      <c r="B636" s="34"/>
    </row>
    <row r="637">
      <c r="B637" s="34"/>
    </row>
    <row r="638">
      <c r="B638" s="34"/>
    </row>
    <row r="639">
      <c r="B639" s="34"/>
    </row>
    <row r="640">
      <c r="B640" s="34"/>
    </row>
    <row r="641">
      <c r="B641" s="34"/>
    </row>
    <row r="642">
      <c r="B642" s="34"/>
    </row>
    <row r="643">
      <c r="B643" s="34"/>
    </row>
    <row r="644">
      <c r="B644" s="34"/>
    </row>
    <row r="645">
      <c r="B645" s="34"/>
    </row>
    <row r="646">
      <c r="B646" s="34"/>
    </row>
    <row r="647">
      <c r="B647" s="34"/>
    </row>
    <row r="648">
      <c r="B648" s="34"/>
    </row>
    <row r="649">
      <c r="B649" s="34"/>
    </row>
    <row r="650">
      <c r="B650" s="34"/>
    </row>
    <row r="651">
      <c r="B651" s="34"/>
    </row>
    <row r="652">
      <c r="B652" s="34"/>
    </row>
    <row r="653">
      <c r="B653" s="34"/>
    </row>
    <row r="654">
      <c r="B654" s="34"/>
    </row>
    <row r="655">
      <c r="B655" s="34"/>
    </row>
    <row r="656">
      <c r="B656" s="34"/>
    </row>
    <row r="657">
      <c r="B657" s="34"/>
    </row>
    <row r="658">
      <c r="B658" s="34"/>
    </row>
    <row r="659">
      <c r="B659" s="34"/>
    </row>
    <row r="660">
      <c r="B660" s="34"/>
    </row>
    <row r="661">
      <c r="B661" s="34"/>
    </row>
    <row r="662">
      <c r="B662" s="34"/>
    </row>
    <row r="663">
      <c r="B663" s="34"/>
    </row>
    <row r="664">
      <c r="B664" s="34"/>
    </row>
    <row r="665">
      <c r="B665" s="34"/>
    </row>
    <row r="666">
      <c r="B666" s="34"/>
    </row>
    <row r="667">
      <c r="B667" s="34"/>
    </row>
    <row r="668">
      <c r="B668" s="34"/>
    </row>
    <row r="669">
      <c r="B669" s="34"/>
    </row>
    <row r="670">
      <c r="B670" s="34"/>
    </row>
    <row r="671">
      <c r="B671" s="34"/>
    </row>
    <row r="672">
      <c r="B672" s="34"/>
    </row>
    <row r="673">
      <c r="B673" s="34"/>
    </row>
    <row r="674">
      <c r="B674" s="34"/>
    </row>
    <row r="675">
      <c r="B675" s="34"/>
    </row>
    <row r="676">
      <c r="B676" s="34"/>
    </row>
    <row r="677">
      <c r="B677" s="34"/>
    </row>
    <row r="678">
      <c r="B678" s="34"/>
    </row>
    <row r="679">
      <c r="B679" s="34"/>
    </row>
    <row r="680">
      <c r="B680" s="34"/>
    </row>
    <row r="681">
      <c r="B681" s="34"/>
    </row>
    <row r="682">
      <c r="B682" s="34"/>
    </row>
    <row r="683">
      <c r="B683" s="34"/>
    </row>
    <row r="684">
      <c r="B684" s="34"/>
    </row>
    <row r="685">
      <c r="B685" s="34"/>
    </row>
    <row r="686">
      <c r="B686" s="34"/>
    </row>
    <row r="687">
      <c r="B687" s="34"/>
    </row>
    <row r="688">
      <c r="B688" s="34"/>
    </row>
    <row r="689">
      <c r="B689" s="34"/>
    </row>
    <row r="690">
      <c r="B690" s="34"/>
    </row>
    <row r="691">
      <c r="B691" s="34"/>
    </row>
    <row r="692">
      <c r="B692" s="34"/>
    </row>
    <row r="693">
      <c r="B693" s="34"/>
    </row>
    <row r="694">
      <c r="B694" s="34"/>
    </row>
    <row r="695">
      <c r="B695" s="34"/>
    </row>
    <row r="696">
      <c r="B696" s="34"/>
    </row>
    <row r="697">
      <c r="B697" s="34"/>
    </row>
    <row r="698">
      <c r="B698" s="34"/>
    </row>
    <row r="699">
      <c r="B699" s="34"/>
    </row>
    <row r="700">
      <c r="B700" s="34"/>
    </row>
    <row r="701">
      <c r="B701" s="34"/>
    </row>
    <row r="702">
      <c r="B702" s="34"/>
    </row>
    <row r="703">
      <c r="B703" s="34"/>
    </row>
    <row r="704">
      <c r="B704" s="34"/>
    </row>
    <row r="705">
      <c r="B705" s="34"/>
    </row>
    <row r="706">
      <c r="B706" s="34"/>
    </row>
    <row r="707">
      <c r="B707" s="34"/>
    </row>
    <row r="708">
      <c r="B708" s="34"/>
    </row>
    <row r="709">
      <c r="B709" s="34"/>
    </row>
    <row r="710">
      <c r="B710" s="34"/>
    </row>
    <row r="711">
      <c r="B711" s="34"/>
    </row>
    <row r="712">
      <c r="B712" s="34"/>
    </row>
    <row r="713">
      <c r="B713" s="34"/>
    </row>
    <row r="714">
      <c r="B714" s="34"/>
    </row>
    <row r="715">
      <c r="B715" s="34"/>
    </row>
    <row r="716">
      <c r="B716" s="34"/>
    </row>
    <row r="717">
      <c r="B717" s="34"/>
    </row>
    <row r="718">
      <c r="B718" s="34"/>
    </row>
    <row r="719">
      <c r="B719" s="34"/>
    </row>
    <row r="720">
      <c r="B720" s="34"/>
    </row>
    <row r="721">
      <c r="B721" s="34"/>
    </row>
    <row r="722">
      <c r="B722" s="34"/>
    </row>
    <row r="723">
      <c r="B723" s="34"/>
    </row>
    <row r="724">
      <c r="B724" s="34"/>
    </row>
    <row r="725">
      <c r="B725" s="34"/>
    </row>
    <row r="726">
      <c r="B726" s="34"/>
    </row>
    <row r="727">
      <c r="B727" s="34"/>
    </row>
    <row r="728">
      <c r="B728" s="34"/>
    </row>
    <row r="729">
      <c r="B729" s="34"/>
    </row>
    <row r="730">
      <c r="B730" s="34"/>
    </row>
    <row r="731">
      <c r="B731" s="34"/>
    </row>
    <row r="732">
      <c r="B732" s="34"/>
    </row>
    <row r="733">
      <c r="B733" s="34"/>
    </row>
    <row r="734">
      <c r="B734" s="34"/>
    </row>
    <row r="735">
      <c r="B735" s="34"/>
    </row>
    <row r="736">
      <c r="B736" s="34"/>
    </row>
    <row r="737">
      <c r="B737" s="34"/>
    </row>
    <row r="738">
      <c r="B738" s="34"/>
    </row>
    <row r="739">
      <c r="B739" s="34"/>
    </row>
    <row r="740">
      <c r="B740" s="34"/>
    </row>
    <row r="741">
      <c r="B741" s="34"/>
    </row>
    <row r="742">
      <c r="B742" s="34"/>
    </row>
    <row r="743">
      <c r="B743" s="34"/>
    </row>
    <row r="744">
      <c r="B744" s="34"/>
    </row>
    <row r="745">
      <c r="B745" s="34"/>
    </row>
    <row r="746">
      <c r="B746" s="34"/>
    </row>
    <row r="747">
      <c r="B747" s="34"/>
    </row>
    <row r="748">
      <c r="B748" s="34"/>
    </row>
    <row r="749">
      <c r="B749" s="34"/>
    </row>
    <row r="750">
      <c r="B750" s="34"/>
    </row>
    <row r="751">
      <c r="B751" s="34"/>
    </row>
    <row r="752">
      <c r="B752" s="34"/>
    </row>
    <row r="753">
      <c r="B753" s="34"/>
    </row>
    <row r="754">
      <c r="B754" s="34"/>
    </row>
    <row r="755">
      <c r="B755" s="34"/>
    </row>
    <row r="756">
      <c r="B756" s="34"/>
    </row>
    <row r="757">
      <c r="B757" s="34"/>
    </row>
    <row r="758">
      <c r="B758" s="34"/>
    </row>
    <row r="759">
      <c r="B759" s="34"/>
    </row>
    <row r="760">
      <c r="B760" s="34"/>
    </row>
    <row r="761">
      <c r="B761" s="34"/>
    </row>
    <row r="762">
      <c r="B762" s="34"/>
    </row>
    <row r="763">
      <c r="B763" s="34"/>
    </row>
    <row r="764">
      <c r="B764" s="34"/>
    </row>
    <row r="765">
      <c r="B765" s="34"/>
    </row>
    <row r="766">
      <c r="B766" s="34"/>
    </row>
    <row r="767">
      <c r="B767" s="34"/>
    </row>
    <row r="768">
      <c r="B768" s="34"/>
    </row>
    <row r="769">
      <c r="B769" s="34"/>
    </row>
    <row r="770">
      <c r="B770" s="34"/>
    </row>
    <row r="771">
      <c r="B771" s="34"/>
    </row>
    <row r="772">
      <c r="B772" s="34"/>
    </row>
    <row r="773">
      <c r="B773" s="34"/>
    </row>
    <row r="774">
      <c r="B774" s="34"/>
    </row>
    <row r="775">
      <c r="B775" s="34"/>
    </row>
    <row r="776">
      <c r="B776" s="34"/>
    </row>
    <row r="777">
      <c r="B777" s="34"/>
    </row>
    <row r="778">
      <c r="B778" s="34"/>
    </row>
    <row r="779">
      <c r="B779" s="34"/>
    </row>
    <row r="780">
      <c r="B780" s="34"/>
    </row>
    <row r="781">
      <c r="B781" s="34"/>
    </row>
    <row r="782">
      <c r="B782" s="34"/>
    </row>
    <row r="783">
      <c r="B783" s="34"/>
    </row>
    <row r="784">
      <c r="B784" s="34"/>
    </row>
    <row r="785">
      <c r="B785" s="34"/>
    </row>
    <row r="786">
      <c r="B786" s="34"/>
    </row>
    <row r="787">
      <c r="B787" s="34"/>
    </row>
    <row r="788">
      <c r="B788" s="34"/>
    </row>
    <row r="789">
      <c r="B789" s="34"/>
    </row>
    <row r="790">
      <c r="B790" s="34"/>
    </row>
    <row r="791">
      <c r="B791" s="34"/>
    </row>
    <row r="792">
      <c r="B792" s="34"/>
    </row>
    <row r="793">
      <c r="B793" s="34"/>
    </row>
    <row r="794">
      <c r="B794" s="34"/>
    </row>
    <row r="795">
      <c r="B795" s="34"/>
    </row>
    <row r="796">
      <c r="B796" s="34"/>
    </row>
    <row r="797">
      <c r="B797" s="34"/>
    </row>
    <row r="798">
      <c r="B798" s="34"/>
    </row>
    <row r="799">
      <c r="B799" s="34"/>
    </row>
    <row r="800">
      <c r="B800" s="34"/>
    </row>
    <row r="801">
      <c r="B801" s="34"/>
    </row>
    <row r="802">
      <c r="B802" s="34"/>
    </row>
    <row r="803">
      <c r="B803" s="34"/>
    </row>
    <row r="804">
      <c r="B804" s="34"/>
    </row>
    <row r="805">
      <c r="B805" s="34"/>
    </row>
    <row r="806">
      <c r="B806" s="34"/>
    </row>
    <row r="807">
      <c r="B807" s="34"/>
    </row>
    <row r="808">
      <c r="B808" s="34"/>
    </row>
    <row r="809">
      <c r="B809" s="34"/>
    </row>
    <row r="810">
      <c r="B810" s="34"/>
    </row>
    <row r="811">
      <c r="B811" s="34"/>
    </row>
    <row r="812">
      <c r="B812" s="34"/>
    </row>
    <row r="813">
      <c r="B813" s="34"/>
    </row>
    <row r="814">
      <c r="B814" s="34"/>
    </row>
    <row r="815">
      <c r="B815" s="34"/>
    </row>
    <row r="816">
      <c r="B816" s="34"/>
    </row>
    <row r="817">
      <c r="B817" s="34"/>
    </row>
    <row r="818">
      <c r="B818" s="34"/>
    </row>
    <row r="819">
      <c r="B819" s="34"/>
    </row>
    <row r="820">
      <c r="B820" s="34"/>
    </row>
    <row r="821">
      <c r="B821" s="34"/>
    </row>
    <row r="822">
      <c r="B822" s="34"/>
    </row>
    <row r="823">
      <c r="B823" s="34"/>
    </row>
    <row r="824">
      <c r="B824" s="34"/>
    </row>
    <row r="825">
      <c r="B825" s="34"/>
    </row>
    <row r="826">
      <c r="B826" s="34"/>
    </row>
    <row r="827">
      <c r="B827" s="34"/>
    </row>
    <row r="828">
      <c r="B828" s="34"/>
    </row>
    <row r="829">
      <c r="B829" s="34"/>
    </row>
    <row r="830">
      <c r="B830" s="34"/>
    </row>
    <row r="831">
      <c r="B831" s="34"/>
    </row>
    <row r="832">
      <c r="B832" s="34"/>
    </row>
    <row r="833">
      <c r="B833" s="34"/>
    </row>
    <row r="834">
      <c r="B834" s="34"/>
    </row>
    <row r="835">
      <c r="B835" s="34"/>
    </row>
    <row r="836">
      <c r="B836" s="34"/>
    </row>
    <row r="837">
      <c r="B837" s="34"/>
    </row>
    <row r="838">
      <c r="B838" s="34"/>
    </row>
    <row r="839">
      <c r="B839" s="34"/>
    </row>
    <row r="840">
      <c r="B840" s="34"/>
    </row>
    <row r="841">
      <c r="B841" s="34"/>
    </row>
    <row r="842">
      <c r="B842" s="34"/>
    </row>
    <row r="843">
      <c r="B843" s="34"/>
    </row>
    <row r="844">
      <c r="B844" s="34"/>
    </row>
    <row r="845">
      <c r="B845" s="34"/>
    </row>
    <row r="846">
      <c r="B846" s="34"/>
    </row>
    <row r="847">
      <c r="B847" s="34"/>
    </row>
    <row r="848">
      <c r="B848" s="34"/>
    </row>
    <row r="849">
      <c r="B849" s="34"/>
    </row>
    <row r="850">
      <c r="B850" s="34"/>
    </row>
    <row r="851">
      <c r="B851" s="34"/>
    </row>
    <row r="852">
      <c r="B852" s="34"/>
    </row>
    <row r="853">
      <c r="B853" s="34"/>
    </row>
    <row r="854">
      <c r="B854" s="34"/>
    </row>
    <row r="855">
      <c r="B855" s="34"/>
    </row>
    <row r="856">
      <c r="B856" s="34"/>
    </row>
    <row r="857">
      <c r="B857" s="34"/>
    </row>
    <row r="858">
      <c r="B858" s="34"/>
    </row>
    <row r="859">
      <c r="B859" s="34"/>
    </row>
    <row r="860">
      <c r="B860" s="34"/>
    </row>
    <row r="861">
      <c r="B861" s="34"/>
    </row>
    <row r="862">
      <c r="B862" s="34"/>
    </row>
    <row r="863">
      <c r="B863" s="34"/>
    </row>
    <row r="864">
      <c r="B864" s="34"/>
    </row>
    <row r="865">
      <c r="B865" s="34"/>
    </row>
    <row r="866">
      <c r="B866" s="34"/>
    </row>
    <row r="867">
      <c r="B867" s="34"/>
    </row>
    <row r="868">
      <c r="B868" s="34"/>
    </row>
    <row r="869">
      <c r="B869" s="34"/>
    </row>
    <row r="870">
      <c r="B870" s="34"/>
    </row>
    <row r="871">
      <c r="B871" s="34"/>
    </row>
    <row r="872">
      <c r="B872" s="34"/>
    </row>
    <row r="873">
      <c r="B873" s="34"/>
    </row>
    <row r="874">
      <c r="B874" s="34"/>
    </row>
    <row r="875">
      <c r="B875" s="34"/>
    </row>
    <row r="876">
      <c r="B876" s="34"/>
    </row>
    <row r="877">
      <c r="B877" s="34"/>
    </row>
    <row r="878">
      <c r="B878" s="34"/>
    </row>
    <row r="879">
      <c r="B879" s="34"/>
    </row>
    <row r="880">
      <c r="B880" s="34"/>
    </row>
    <row r="881">
      <c r="B881" s="34"/>
    </row>
    <row r="882">
      <c r="B882" s="34"/>
    </row>
    <row r="883">
      <c r="B883" s="34"/>
    </row>
    <row r="884">
      <c r="B884" s="34"/>
    </row>
    <row r="885">
      <c r="B885" s="34"/>
    </row>
    <row r="886">
      <c r="B886" s="34"/>
    </row>
    <row r="887">
      <c r="B887" s="34"/>
    </row>
    <row r="888">
      <c r="B888" s="34"/>
    </row>
    <row r="889">
      <c r="B889" s="34"/>
    </row>
    <row r="890">
      <c r="B890" s="34"/>
    </row>
    <row r="891">
      <c r="B891" s="34"/>
    </row>
    <row r="892">
      <c r="B892" s="34"/>
    </row>
    <row r="893">
      <c r="B893" s="34"/>
    </row>
    <row r="894">
      <c r="B894" s="34"/>
    </row>
    <row r="895">
      <c r="B895" s="34"/>
    </row>
    <row r="896">
      <c r="B896" s="34"/>
    </row>
    <row r="897">
      <c r="B897" s="34"/>
    </row>
    <row r="898">
      <c r="B898" s="34"/>
    </row>
    <row r="899">
      <c r="B899" s="34"/>
    </row>
    <row r="900">
      <c r="B900" s="34"/>
    </row>
    <row r="901">
      <c r="B901" s="34"/>
    </row>
    <row r="902">
      <c r="B902" s="34"/>
    </row>
    <row r="903">
      <c r="B903" s="34"/>
    </row>
    <row r="904">
      <c r="B904" s="34"/>
    </row>
    <row r="905">
      <c r="B905" s="34"/>
    </row>
    <row r="906">
      <c r="B906" s="34"/>
    </row>
    <row r="907">
      <c r="B907" s="34"/>
    </row>
    <row r="908">
      <c r="B908" s="34"/>
    </row>
    <row r="909">
      <c r="B909" s="34"/>
    </row>
    <row r="910">
      <c r="B910" s="34"/>
    </row>
    <row r="911">
      <c r="B911" s="34"/>
    </row>
    <row r="912">
      <c r="B912" s="34"/>
    </row>
    <row r="913">
      <c r="B913" s="34"/>
    </row>
    <row r="914">
      <c r="B914" s="34"/>
    </row>
    <row r="915">
      <c r="B915" s="34"/>
    </row>
    <row r="916">
      <c r="B916" s="34"/>
    </row>
    <row r="917">
      <c r="B917" s="34"/>
    </row>
    <row r="918">
      <c r="B918" s="34"/>
    </row>
    <row r="919">
      <c r="B919" s="34"/>
    </row>
    <row r="920">
      <c r="B920" s="34"/>
    </row>
    <row r="921">
      <c r="B921" s="34"/>
    </row>
    <row r="922">
      <c r="B922" s="34"/>
    </row>
    <row r="923">
      <c r="B923" s="34"/>
    </row>
    <row r="924">
      <c r="B924" s="34"/>
    </row>
    <row r="925">
      <c r="B925" s="34"/>
    </row>
    <row r="926">
      <c r="B926" s="34"/>
    </row>
    <row r="927">
      <c r="B927" s="34"/>
    </row>
    <row r="928">
      <c r="B928" s="34"/>
    </row>
    <row r="929">
      <c r="B929" s="34"/>
    </row>
    <row r="930">
      <c r="B930" s="34"/>
    </row>
    <row r="931">
      <c r="B931" s="34"/>
    </row>
    <row r="932">
      <c r="B932" s="34"/>
    </row>
    <row r="933">
      <c r="B933" s="34"/>
    </row>
    <row r="934">
      <c r="B934" s="34"/>
    </row>
    <row r="935">
      <c r="B935" s="34"/>
    </row>
    <row r="936">
      <c r="B936" s="34"/>
    </row>
    <row r="937">
      <c r="B937" s="34"/>
    </row>
    <row r="938">
      <c r="B938" s="34"/>
    </row>
    <row r="939">
      <c r="B939" s="34"/>
    </row>
    <row r="940">
      <c r="B940" s="34"/>
    </row>
    <row r="941">
      <c r="B941" s="34"/>
    </row>
    <row r="942">
      <c r="B942" s="34"/>
    </row>
    <row r="943">
      <c r="B943" s="34"/>
    </row>
    <row r="944">
      <c r="B944" s="34"/>
    </row>
    <row r="945">
      <c r="B945" s="34"/>
    </row>
    <row r="946">
      <c r="B946" s="34"/>
    </row>
    <row r="947">
      <c r="B947" s="34"/>
    </row>
    <row r="948">
      <c r="B948" s="34"/>
    </row>
    <row r="949">
      <c r="B949" s="34"/>
    </row>
    <row r="950">
      <c r="B950" s="34"/>
    </row>
    <row r="951">
      <c r="B951" s="34"/>
    </row>
    <row r="952">
      <c r="B952" s="34"/>
    </row>
    <row r="953">
      <c r="B953" s="34"/>
    </row>
    <row r="954">
      <c r="B954" s="34"/>
    </row>
    <row r="955">
      <c r="B955" s="34"/>
    </row>
    <row r="956">
      <c r="B956" s="34"/>
    </row>
    <row r="957">
      <c r="B957" s="34"/>
    </row>
    <row r="958">
      <c r="B958" s="34"/>
    </row>
    <row r="959">
      <c r="B959" s="34"/>
    </row>
    <row r="960">
      <c r="B960" s="34"/>
    </row>
    <row r="961">
      <c r="B961" s="34"/>
    </row>
    <row r="962">
      <c r="B962" s="34"/>
    </row>
    <row r="963">
      <c r="B963" s="34"/>
    </row>
    <row r="964">
      <c r="B964" s="34"/>
    </row>
    <row r="965">
      <c r="B965" s="34"/>
    </row>
    <row r="966">
      <c r="B966" s="34"/>
    </row>
    <row r="967">
      <c r="B967" s="34"/>
    </row>
    <row r="968">
      <c r="B968" s="34"/>
    </row>
    <row r="969">
      <c r="B969" s="34"/>
    </row>
    <row r="970">
      <c r="B970" s="34"/>
    </row>
    <row r="971">
      <c r="B971" s="34"/>
    </row>
    <row r="972">
      <c r="B972" s="34"/>
    </row>
    <row r="973">
      <c r="B973" s="34"/>
    </row>
    <row r="974">
      <c r="B974" s="34"/>
    </row>
    <row r="975">
      <c r="B975" s="34"/>
    </row>
    <row r="976">
      <c r="B976" s="34"/>
    </row>
    <row r="977">
      <c r="B977" s="34"/>
    </row>
    <row r="978">
      <c r="B978" s="34"/>
    </row>
    <row r="979">
      <c r="B979" s="34"/>
    </row>
    <row r="980">
      <c r="B980" s="34"/>
    </row>
    <row r="981">
      <c r="B981" s="34"/>
    </row>
    <row r="982">
      <c r="B982" s="34"/>
    </row>
    <row r="983">
      <c r="B983" s="34"/>
    </row>
    <row r="984">
      <c r="B984" s="34"/>
    </row>
    <row r="985">
      <c r="B985" s="34"/>
    </row>
    <row r="986">
      <c r="B986" s="34"/>
    </row>
    <row r="987">
      <c r="B987" s="34"/>
    </row>
    <row r="988">
      <c r="B988" s="34"/>
    </row>
    <row r="989">
      <c r="B989" s="34"/>
    </row>
    <row r="990">
      <c r="B990" s="34"/>
    </row>
    <row r="991">
      <c r="B991" s="34"/>
    </row>
    <row r="992">
      <c r="B992" s="34"/>
    </row>
    <row r="993">
      <c r="B993" s="34"/>
    </row>
    <row r="994">
      <c r="B994" s="34"/>
    </row>
    <row r="995">
      <c r="B995" s="34"/>
    </row>
    <row r="996">
      <c r="B996" s="34"/>
    </row>
    <row r="997">
      <c r="B997" s="34"/>
    </row>
    <row r="998">
      <c r="B998" s="34"/>
    </row>
    <row r="999">
      <c r="B999" s="34"/>
    </row>
    <row r="1000">
      <c r="B1000" s="34"/>
    </row>
  </sheetData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2026-01-24T08:53:58Z</dcterms:created>
  <dc:creator>kailash123439@outlook.com</dc:creator>
</cp:coreProperties>
</file>